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582325\Desktop\"/>
    </mc:Choice>
  </mc:AlternateContent>
  <bookViews>
    <workbookView xWindow="0" yWindow="0" windowWidth="20490" windowHeight="7725"/>
  </bookViews>
  <sheets>
    <sheet name="Readme" sheetId="4" r:id="rId1"/>
    <sheet name="data" sheetId="2" state="hidden" r:id="rId2"/>
    <sheet name="lr_sgd" sheetId="1" r:id="rId3"/>
    <sheet name="visualization" sheetId="3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C9" i="1"/>
  <c r="B29" i="1" l="1"/>
  <c r="B28" i="1"/>
  <c r="B27" i="1"/>
  <c r="D2" i="2"/>
  <c r="D1" i="2"/>
  <c r="D20" i="2" l="1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E9" i="1" l="1"/>
  <c r="H9" i="1" l="1"/>
  <c r="J9" i="1" s="1"/>
  <c r="D10" i="1" s="1"/>
  <c r="F9" i="1"/>
  <c r="G9" i="1" s="1"/>
  <c r="I9" i="1" s="1"/>
  <c r="C10" i="1" s="1"/>
  <c r="E10" i="1" l="1"/>
  <c r="F10" i="1" l="1"/>
  <c r="G10" i="1" s="1"/>
  <c r="I10" i="1" s="1"/>
  <c r="C11" i="1" s="1"/>
  <c r="H10" i="1"/>
  <c r="J10" i="1" s="1"/>
  <c r="D11" i="1" s="1"/>
  <c r="E11" i="1" l="1"/>
  <c r="H11" i="1" s="1"/>
  <c r="J11" i="1" s="1"/>
  <c r="D12" i="1" s="1"/>
  <c r="F11" i="1" l="1"/>
  <c r="G11" i="1" s="1"/>
  <c r="I11" i="1" s="1"/>
  <c r="C12" i="1" s="1"/>
  <c r="E12" i="1" l="1"/>
  <c r="F12" i="1" l="1"/>
  <c r="G12" i="1" s="1"/>
  <c r="I12" i="1" s="1"/>
  <c r="C13" i="1" s="1"/>
  <c r="H12" i="1"/>
  <c r="J12" i="1" s="1"/>
  <c r="D13" i="1" s="1"/>
  <c r="E13" i="1" l="1"/>
  <c r="F13" i="1" s="1"/>
  <c r="G13" i="1" s="1"/>
  <c r="I13" i="1" s="1"/>
  <c r="C14" i="1" s="1"/>
  <c r="H13" i="1" l="1"/>
  <c r="J13" i="1" s="1"/>
  <c r="D14" i="1" s="1"/>
  <c r="E14" i="1" l="1"/>
  <c r="F14" i="1" s="1"/>
  <c r="G14" i="1" s="1"/>
  <c r="I14" i="1" s="1"/>
  <c r="C15" i="1" s="1"/>
  <c r="H14" i="1" l="1"/>
  <c r="J14" i="1" s="1"/>
  <c r="D15" i="1" s="1"/>
  <c r="E15" i="1" l="1"/>
  <c r="F15" i="1" s="1"/>
  <c r="G15" i="1" s="1"/>
  <c r="I15" i="1" s="1"/>
  <c r="C16" i="1" s="1"/>
  <c r="H15" i="1" l="1"/>
  <c r="J15" i="1" s="1"/>
  <c r="D16" i="1" s="1"/>
  <c r="E16" i="1" l="1"/>
  <c r="F16" i="1" s="1"/>
  <c r="G16" i="1" s="1"/>
  <c r="I16" i="1" s="1"/>
  <c r="C17" i="1" s="1"/>
  <c r="H16" i="1" l="1"/>
  <c r="J16" i="1" s="1"/>
  <c r="D17" i="1" s="1"/>
  <c r="E17" i="1" l="1"/>
  <c r="F17" i="1" s="1"/>
  <c r="G17" i="1" s="1"/>
  <c r="I17" i="1" s="1"/>
  <c r="C18" i="1" s="1"/>
  <c r="H17" i="1" l="1"/>
  <c r="J17" i="1" s="1"/>
  <c r="D18" i="1" s="1"/>
  <c r="E18" i="1" l="1"/>
  <c r="F18" i="1" s="1"/>
  <c r="G18" i="1" s="1"/>
  <c r="I18" i="1" s="1"/>
  <c r="C19" i="1" s="1"/>
  <c r="H18" i="1" l="1"/>
  <c r="J18" i="1" s="1"/>
  <c r="D19" i="1" s="1"/>
  <c r="E19" i="1" l="1"/>
  <c r="F19" i="1" s="1"/>
  <c r="G19" i="1" s="1"/>
  <c r="I19" i="1" s="1"/>
  <c r="C20" i="1" s="1"/>
  <c r="H19" i="1" l="1"/>
  <c r="J19" i="1" s="1"/>
  <c r="D20" i="1" s="1"/>
  <c r="E20" i="1" l="1"/>
  <c r="F20" i="1" s="1"/>
  <c r="G20" i="1" s="1"/>
  <c r="I20" i="1" s="1"/>
  <c r="C21" i="1" s="1"/>
  <c r="H20" i="1" l="1"/>
  <c r="J20" i="1" s="1"/>
  <c r="D21" i="1" l="1"/>
  <c r="E21" i="1" s="1"/>
  <c r="H21" i="1" l="1"/>
  <c r="J21" i="1" s="1"/>
  <c r="D22" i="1" s="1"/>
  <c r="F21" i="1"/>
  <c r="G21" i="1" s="1"/>
  <c r="I21" i="1" s="1"/>
  <c r="C22" i="1" s="1"/>
  <c r="E22" i="1" l="1"/>
  <c r="H22" i="1" s="1"/>
  <c r="J22" i="1" s="1"/>
  <c r="D23" i="1" s="1"/>
  <c r="F22" i="1" l="1"/>
  <c r="G22" i="1" s="1"/>
  <c r="I22" i="1" s="1"/>
  <c r="C23" i="1" s="1"/>
  <c r="E23" i="1" l="1"/>
  <c r="H23" i="1" s="1"/>
  <c r="J23" i="1" s="1"/>
  <c r="F23" i="1" l="1"/>
  <c r="G23" i="1" l="1"/>
  <c r="I23" i="1" s="1"/>
  <c r="I4" i="1"/>
</calcChain>
</file>

<file path=xl/comments1.xml><?xml version="1.0" encoding="utf-8"?>
<comments xmlns="http://schemas.openxmlformats.org/spreadsheetml/2006/main">
  <authors>
    <author>Natarajan, Ramesh</author>
  </authors>
  <commentList>
    <comment ref="G8" authorId="0" shapeId="0">
      <text>
        <r>
          <rPr>
            <b/>
            <sz val="9"/>
            <color indexed="81"/>
            <rFont val="Tahoma"/>
            <family val="2"/>
          </rPr>
          <t>Natarajan, Ramesh:</t>
        </r>
        <r>
          <rPr>
            <sz val="9"/>
            <color indexed="81"/>
            <rFont val="Tahoma"/>
            <family val="2"/>
          </rPr>
          <t xml:space="preserve">
First Order Partial Derivative w.r.t </t>
        </r>
        <r>
          <rPr>
            <b/>
            <sz val="9"/>
            <color indexed="81"/>
            <rFont val="Tahoma"/>
            <family val="2"/>
          </rPr>
          <t>w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Natarajan, Ramesh:</t>
        </r>
        <r>
          <rPr>
            <sz val="9"/>
            <color indexed="81"/>
            <rFont val="Tahoma"/>
            <family val="2"/>
          </rPr>
          <t xml:space="preserve">
First Order Partial Derivative w.r.t </t>
        </r>
        <r>
          <rPr>
            <b/>
            <sz val="9"/>
            <color indexed="81"/>
            <rFont val="Tahoma"/>
            <family val="2"/>
          </rPr>
          <t>b</t>
        </r>
      </text>
    </comment>
  </commentList>
</comments>
</file>

<file path=xl/sharedStrings.xml><?xml version="1.0" encoding="utf-8"?>
<sst xmlns="http://schemas.openxmlformats.org/spreadsheetml/2006/main" count="34" uniqueCount="27">
  <si>
    <t>x</t>
  </si>
  <si>
    <t>y</t>
  </si>
  <si>
    <t>Gradient</t>
  </si>
  <si>
    <t>Squared Deviation</t>
  </si>
  <si>
    <t>err^2 = (ŷ - y)^2</t>
  </si>
  <si>
    <t>Weights</t>
  </si>
  <si>
    <t>New Weights</t>
  </si>
  <si>
    <t>α (learning rate)</t>
  </si>
  <si>
    <t>error threshold</t>
  </si>
  <si>
    <t>Input</t>
  </si>
  <si>
    <t>Actual Output</t>
  </si>
  <si>
    <t>Predicted Output</t>
  </si>
  <si>
    <t>RMSE</t>
  </si>
  <si>
    <t># of Epochs</t>
  </si>
  <si>
    <t>w</t>
  </si>
  <si>
    <t>b</t>
  </si>
  <si>
    <t>ŷ=w*x + b</t>
  </si>
  <si>
    <t>dw = 2(ŷ - y)x</t>
  </si>
  <si>
    <t>db = 2(ŷ - y)</t>
  </si>
  <si>
    <r>
      <t>w = w - α</t>
    </r>
    <r>
      <rPr>
        <b/>
        <i/>
        <sz val="11"/>
        <color theme="1"/>
        <rFont val="Arial"/>
        <family val="2"/>
      </rPr>
      <t>*dw</t>
    </r>
  </si>
  <si>
    <r>
      <t>b = b - α</t>
    </r>
    <r>
      <rPr>
        <b/>
        <i/>
        <sz val="11"/>
        <color theme="1"/>
        <rFont val="Arial"/>
        <family val="2"/>
      </rPr>
      <t>*db</t>
    </r>
  </si>
  <si>
    <t>Test Data</t>
  </si>
  <si>
    <t>Training Data</t>
  </si>
  <si>
    <t>Prediction</t>
  </si>
  <si>
    <t>Cost (RMSE)</t>
  </si>
  <si>
    <t>`</t>
  </si>
  <si>
    <r>
      <t xml:space="preserve">This work book demonstrates working of a machine learning alogorithm (Linear Regression) using Stochastic Gradient Descent. In the worksheet lr_sgd
</t>
    </r>
    <r>
      <rPr>
        <u/>
        <sz val="10"/>
        <color theme="1"/>
        <rFont val="Arial"/>
        <family val="2"/>
      </rPr>
      <t>Description</t>
    </r>
    <r>
      <rPr>
        <sz val="10"/>
        <color theme="1"/>
        <rFont val="Arial"/>
        <family val="2"/>
      </rPr>
      <t xml:space="preserve">
1. Column B is the input variable X and column C is the actual output value. The objective is for the machine to learn the relationship between X and Y.
2. Column E is the predicted value of Y. Our objective is to "guess" Column E value and iteratively improve it's value so that it gets close to column C values.
3. Cells C5 and C6 are the weights and bias term which define the relationship between column B and Column E. We need to optimize these values so that column E converges to Column C.
</t>
    </r>
    <r>
      <rPr>
        <u/>
        <sz val="10"/>
        <color theme="1"/>
        <rFont val="Arial"/>
        <family val="2"/>
      </rPr>
      <t>How to use</t>
    </r>
    <r>
      <rPr>
        <sz val="10"/>
        <color theme="1"/>
        <rFont val="Arial"/>
        <family val="2"/>
      </rPr>
      <t xml:space="preserve">
1. Define any initial values for Weight and Bias (cells C5 and D5)
2. Click "Optimize" button. The button will trigger a macro which will perform optimization till the error value is greater than cell I2.
3. You can view the macro to understand how the optimization works.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</si>
</sst>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0"/>
  </numFmts>
  <fonts count="12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b/>
      <i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.5"/>
      <color rgb="FF000000"/>
      <name val="Calibri"/>
      <family val="2"/>
    </font>
    <font>
      <b/>
      <sz val="10"/>
      <color rgb="FF000000"/>
      <name val="Calibri"/>
      <family val="2"/>
    </font>
    <font>
      <sz val="10"/>
      <name val="Arial"/>
      <family val="2"/>
    </font>
    <font>
      <u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BFFCB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3" borderId="4" xfId="0" applyFont="1" applyFill="1" applyBorder="1"/>
    <xf numFmtId="0" fontId="0" fillId="3" borderId="5" xfId="0" applyFill="1" applyBorder="1"/>
    <xf numFmtId="0" fontId="1" fillId="3" borderId="6" xfId="0" applyFont="1" applyFill="1" applyBorder="1"/>
    <xf numFmtId="0" fontId="0" fillId="3" borderId="7" xfId="0" applyFill="1" applyBorder="1"/>
    <xf numFmtId="0" fontId="2" fillId="4" borderId="12" xfId="0" applyFont="1" applyFill="1" applyBorder="1" applyAlignment="1">
      <alignment wrapText="1"/>
    </xf>
    <xf numFmtId="0" fontId="0" fillId="3" borderId="13" xfId="0" applyFill="1" applyBorder="1"/>
    <xf numFmtId="0" fontId="1" fillId="4" borderId="12" xfId="0" applyFont="1" applyFill="1" applyBorder="1"/>
    <xf numFmtId="0" fontId="4" fillId="3" borderId="4" xfId="0" applyFont="1" applyFill="1" applyBorder="1"/>
    <xf numFmtId="0" fontId="4" fillId="3" borderId="6" xfId="0" applyFont="1" applyFill="1" applyBorder="1"/>
    <xf numFmtId="165" fontId="0" fillId="3" borderId="14" xfId="0" applyNumberFormat="1" applyFill="1" applyBorder="1"/>
    <xf numFmtId="165" fontId="0" fillId="3" borderId="15" xfId="0" applyNumberFormat="1" applyFill="1" applyBorder="1"/>
    <xf numFmtId="164" fontId="0" fillId="3" borderId="16" xfId="0" applyNumberFormat="1" applyFill="1" applyBorder="1"/>
    <xf numFmtId="164" fontId="0" fillId="3" borderId="8" xfId="0" applyNumberFormat="1" applyFill="1" applyBorder="1"/>
    <xf numFmtId="164" fontId="0" fillId="3" borderId="10" xfId="0" applyNumberForma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165" fontId="0" fillId="3" borderId="13" xfId="0" applyNumberFormat="1" applyFill="1" applyBorder="1"/>
    <xf numFmtId="0" fontId="1" fillId="0" borderId="0" xfId="0" applyFont="1"/>
    <xf numFmtId="164" fontId="4" fillId="3" borderId="5" xfId="0" applyNumberFormat="1" applyFont="1" applyFill="1" applyBorder="1"/>
    <xf numFmtId="164" fontId="4" fillId="3" borderId="7" xfId="0" applyNumberFormat="1" applyFont="1" applyFill="1" applyBorder="1"/>
    <xf numFmtId="164" fontId="0" fillId="5" borderId="14" xfId="0" applyNumberFormat="1" applyFill="1" applyBorder="1"/>
    <xf numFmtId="164" fontId="10" fillId="5" borderId="9" xfId="0" applyNumberFormat="1" applyFont="1" applyFill="1" applyBorder="1"/>
    <xf numFmtId="164" fontId="10" fillId="5" borderId="11" xfId="0" applyNumberFormat="1" applyFont="1" applyFill="1" applyBorder="1"/>
    <xf numFmtId="164" fontId="0" fillId="0" borderId="0" xfId="0" applyNumberFormat="1"/>
    <xf numFmtId="165" fontId="10" fillId="3" borderId="9" xfId="0" applyNumberFormat="1" applyFont="1" applyFill="1" applyBorder="1"/>
    <xf numFmtId="2" fontId="10" fillId="5" borderId="9" xfId="0" applyNumberFormat="1" applyFont="1" applyFill="1" applyBorder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FFCB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Cost optimization using SGD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visualization!$E$4:$E$5</c:f>
              <c:strCache>
                <c:ptCount val="2"/>
                <c:pt idx="1">
                  <c:v>RMSE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visualization!$D$6:$D$117</c:f>
              <c:numCache>
                <c:formatCode>General</c:formatCode>
                <c:ptCount val="112"/>
              </c:numCache>
            </c:numRef>
          </c:xVal>
          <c:yVal>
            <c:numRef>
              <c:f>visualization!$E$6:$E$117</c:f>
              <c:numCache>
                <c:formatCode>0.0</c:formatCode>
                <c:ptCount val="1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56-4219-BA37-1D5869291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759008"/>
        <c:axId val="855576320"/>
      </c:scatterChart>
      <c:valAx>
        <c:axId val="736759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solidFill>
                      <a:schemeClr val="accent1">
                        <a:lumMod val="75000"/>
                      </a:schemeClr>
                    </a:solidFill>
                  </a:rPr>
                  <a:t># of Epochs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576320"/>
        <c:crosses val="autoZero"/>
        <c:crossBetween val="midCat"/>
        <c:majorUnit val="500"/>
      </c:valAx>
      <c:valAx>
        <c:axId val="85557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chemeClr val="accent1">
                        <a:lumMod val="75000"/>
                      </a:schemeClr>
                    </a:solidFill>
                  </a:rPr>
                  <a:t>RMSE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59008"/>
        <c:crosses val="autoZero"/>
        <c:crossBetween val="midCat"/>
      </c:valAx>
      <c:spPr>
        <a:solidFill>
          <a:srgbClr val="FBFFCB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19050</xdr:rowOff>
        </xdr:from>
        <xdr:to>
          <xdr:col>1</xdr:col>
          <xdr:colOff>9525</xdr:colOff>
          <xdr:row>2</xdr:row>
          <xdr:rowOff>47625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GB" sz="95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28575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113558</xdr:colOff>
      <xdr:row>0</xdr:row>
      <xdr:rowOff>0</xdr:rowOff>
    </xdr:from>
    <xdr:to>
      <xdr:col>18</xdr:col>
      <xdr:colOff>361041</xdr:colOff>
      <xdr:row>28</xdr:row>
      <xdr:rowOff>93169</xdr:rowOff>
    </xdr:to>
    <xdr:sp macro="" textlink="">
      <xdr:nvSpPr>
        <xdr:cNvPr id="4" name="Content Placeholde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Grp="1"/>
        </xdr:cNvSpPr>
      </xdr:nvSpPr>
      <xdr:spPr>
        <a:xfrm>
          <a:off x="10339944" y="0"/>
          <a:ext cx="4490438" cy="4847010"/>
        </a:xfrm>
        <a:prstGeom prst="rect">
          <a:avLst/>
        </a:prstGeom>
      </xdr:spPr>
      <xdr:txBody>
        <a:bodyPr vert="horz" wrap="square" lIns="0" tIns="0" rIns="0" bIns="0" rtlCol="0">
          <a:normAutofit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Clr>
              <a:schemeClr val="accent3"/>
            </a:buClr>
            <a:buFont typeface="Arial" panose="020B0604020202020204" pitchFamily="34" charset="0"/>
            <a:buChar char="•"/>
            <a:defRPr sz="1800" kern="1200" baseline="0">
              <a:solidFill>
                <a:schemeClr val="tx1"/>
              </a:solidFill>
              <a:latin typeface="Body Level 1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Clr>
              <a:schemeClr val="accent3"/>
            </a:buClr>
            <a:buSzPct val="100000"/>
            <a:buFont typeface="Wingdings" panose="05000000000000000000" pitchFamily="2" charset="2"/>
            <a:buChar char="§"/>
            <a:defRPr sz="1600" kern="1200" baseline="0">
              <a:solidFill>
                <a:schemeClr val="tx1"/>
              </a:solidFill>
              <a:latin typeface="Body Level 2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Clr>
              <a:schemeClr val="accent3"/>
            </a:buClr>
            <a:buSzPct val="80000"/>
            <a:buFont typeface="Courier New" panose="02070309020205020404" pitchFamily="49" charset="0"/>
            <a:buChar char="o"/>
            <a:defRPr sz="1500" kern="1200" baseline="0">
              <a:solidFill>
                <a:schemeClr val="tx1"/>
              </a:solidFill>
              <a:latin typeface="Body Level 3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Clr>
              <a:schemeClr val="accent3"/>
            </a:buClr>
            <a:buSzPct val="60000"/>
            <a:buFont typeface="Wingdings" panose="05000000000000000000" pitchFamily="2" charset="2"/>
            <a:buChar char="q"/>
            <a:defRPr sz="1400" kern="1200" baseline="0">
              <a:solidFill>
                <a:schemeClr val="tx1"/>
              </a:solidFill>
              <a:latin typeface="Body Level 4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Clr>
              <a:schemeClr val="accent3"/>
            </a:buClr>
            <a:buFont typeface="Arial" panose="020B0604020202020204" pitchFamily="34" charset="0"/>
            <a:buChar char="-"/>
            <a:defRPr sz="1200" kern="1200" baseline="0">
              <a:solidFill>
                <a:schemeClr val="tx1"/>
              </a:solidFill>
              <a:latin typeface="Body Level 5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GB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2</xdr:row>
      <xdr:rowOff>9524</xdr:rowOff>
    </xdr:from>
    <xdr:to>
      <xdr:col>15</xdr:col>
      <xdr:colOff>171450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tabSelected="1" workbookViewId="0">
      <selection activeCell="A9" sqref="A9"/>
    </sheetView>
  </sheetViews>
  <sheetFormatPr defaultRowHeight="12.75" x14ac:dyDescent="0.2"/>
  <cols>
    <col min="1" max="1" width="105.85546875" style="37" customWidth="1"/>
    <col min="2" max="16384" width="9.140625" style="37"/>
  </cols>
  <sheetData>
    <row r="1" spans="1:1" ht="216.75" x14ac:dyDescent="0.2">
      <c r="A1" s="38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D20"/>
  <sheetViews>
    <sheetView workbookViewId="0">
      <selection activeCell="C6" sqref="C6"/>
    </sheetView>
  </sheetViews>
  <sheetFormatPr defaultRowHeight="12.75" x14ac:dyDescent="0.2"/>
  <cols>
    <col min="3" max="3" width="21.7109375" customWidth="1"/>
    <col min="4" max="4" width="26" customWidth="1"/>
  </cols>
  <sheetData>
    <row r="1" spans="3:4" x14ac:dyDescent="0.2">
      <c r="C1" t="s">
        <v>14</v>
      </c>
      <c r="D1" s="22">
        <f>5/9</f>
        <v>0.55555555555555558</v>
      </c>
    </row>
    <row r="2" spans="3:4" x14ac:dyDescent="0.2">
      <c r="C2" t="s">
        <v>15</v>
      </c>
      <c r="D2" s="22">
        <f>(-32)*D1</f>
        <v>-17.777777777777779</v>
      </c>
    </row>
    <row r="4" spans="3:4" ht="13.5" thickBot="1" x14ac:dyDescent="0.25"/>
    <row r="5" spans="3:4" ht="28.5" customHeight="1" x14ac:dyDescent="0.2">
      <c r="C5" s="15" t="s">
        <v>0</v>
      </c>
      <c r="D5" s="16" t="s">
        <v>1</v>
      </c>
    </row>
    <row r="6" spans="3:4" ht="14.25" x14ac:dyDescent="0.2">
      <c r="C6" s="8">
        <v>77</v>
      </c>
      <c r="D6" s="25">
        <f>$D$1*C6+$D$2</f>
        <v>25</v>
      </c>
    </row>
    <row r="7" spans="3:4" ht="14.25" x14ac:dyDescent="0.2">
      <c r="C7" s="8">
        <v>99</v>
      </c>
      <c r="D7" s="25">
        <f t="shared" ref="D7:D20" si="0">$D$1*C7+$D$2</f>
        <v>37.222222222222221</v>
      </c>
    </row>
    <row r="8" spans="3:4" ht="14.25" x14ac:dyDescent="0.2">
      <c r="C8" s="8">
        <v>1</v>
      </c>
      <c r="D8" s="25">
        <f t="shared" si="0"/>
        <v>-17.222222222222221</v>
      </c>
    </row>
    <row r="9" spans="3:4" ht="14.25" x14ac:dyDescent="0.2">
      <c r="C9" s="8">
        <v>21</v>
      </c>
      <c r="D9" s="25">
        <f t="shared" si="0"/>
        <v>-6.1111111111111107</v>
      </c>
    </row>
    <row r="10" spans="3:4" ht="14.25" x14ac:dyDescent="0.2">
      <c r="C10" s="8">
        <v>91</v>
      </c>
      <c r="D10" s="25">
        <f t="shared" si="0"/>
        <v>32.777777777777779</v>
      </c>
    </row>
    <row r="11" spans="3:4" ht="14.25" x14ac:dyDescent="0.2">
      <c r="C11" s="8">
        <v>44</v>
      </c>
      <c r="D11" s="25">
        <f t="shared" si="0"/>
        <v>6.6666666666666679</v>
      </c>
    </row>
    <row r="12" spans="3:4" ht="14.25" x14ac:dyDescent="0.2">
      <c r="C12" s="8">
        <v>62</v>
      </c>
      <c r="D12" s="25">
        <f t="shared" si="0"/>
        <v>16.666666666666664</v>
      </c>
    </row>
    <row r="13" spans="3:4" ht="14.25" x14ac:dyDescent="0.2">
      <c r="C13" s="8">
        <v>41</v>
      </c>
      <c r="D13" s="25">
        <f t="shared" si="0"/>
        <v>5</v>
      </c>
    </row>
    <row r="14" spans="3:4" ht="14.25" x14ac:dyDescent="0.2">
      <c r="C14" s="8">
        <v>48</v>
      </c>
      <c r="D14" s="25">
        <f t="shared" si="0"/>
        <v>8.8888888888888893</v>
      </c>
    </row>
    <row r="15" spans="3:4" ht="14.25" x14ac:dyDescent="0.2">
      <c r="C15" s="8">
        <v>5</v>
      </c>
      <c r="D15" s="25">
        <f t="shared" si="0"/>
        <v>-15</v>
      </c>
    </row>
    <row r="16" spans="3:4" ht="14.25" x14ac:dyDescent="0.2">
      <c r="C16" s="8">
        <v>62</v>
      </c>
      <c r="D16" s="25">
        <f t="shared" si="0"/>
        <v>16.666666666666664</v>
      </c>
    </row>
    <row r="17" spans="3:4" ht="14.25" x14ac:dyDescent="0.2">
      <c r="C17" s="8">
        <v>3</v>
      </c>
      <c r="D17" s="25">
        <f t="shared" si="0"/>
        <v>-16.111111111111111</v>
      </c>
    </row>
    <row r="18" spans="3:4" ht="14.25" x14ac:dyDescent="0.2">
      <c r="C18" s="8">
        <v>66</v>
      </c>
      <c r="D18" s="25">
        <f t="shared" si="0"/>
        <v>18.888888888888893</v>
      </c>
    </row>
    <row r="19" spans="3:4" ht="14.25" x14ac:dyDescent="0.2">
      <c r="C19" s="8">
        <v>46</v>
      </c>
      <c r="D19" s="25">
        <f t="shared" si="0"/>
        <v>7.7777777777777786</v>
      </c>
    </row>
    <row r="20" spans="3:4" ht="15" thickBot="1" x14ac:dyDescent="0.25">
      <c r="C20" s="9">
        <v>85</v>
      </c>
      <c r="D20" s="26">
        <f t="shared" si="0"/>
        <v>29.444444444444443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9"/>
  <sheetViews>
    <sheetView zoomScale="110" zoomScaleNormal="110" zoomScaleSheetLayoutView="100" workbookViewId="0">
      <selection activeCell="K8" sqref="K8"/>
    </sheetView>
  </sheetViews>
  <sheetFormatPr defaultRowHeight="12.75" x14ac:dyDescent="0.2"/>
  <cols>
    <col min="1" max="1" width="13.42578125" bestFit="1" customWidth="1"/>
    <col min="2" max="2" width="13.5703125" bestFit="1" customWidth="1"/>
    <col min="5" max="5" width="16.85546875" bestFit="1" customWidth="1"/>
    <col min="6" max="6" width="18.28515625" bestFit="1" customWidth="1"/>
    <col min="7" max="7" width="14.7109375" bestFit="1" customWidth="1"/>
    <col min="8" max="8" width="15.140625" bestFit="1" customWidth="1"/>
    <col min="9" max="10" width="17" bestFit="1" customWidth="1"/>
  </cols>
  <sheetData>
    <row r="1" spans="1:10" ht="16.5" customHeight="1" thickBot="1" x14ac:dyDescent="0.25">
      <c r="I1" t="s">
        <v>25</v>
      </c>
    </row>
    <row r="2" spans="1:10" ht="13.5" thickBot="1" x14ac:dyDescent="0.25">
      <c r="H2" s="7" t="s">
        <v>8</v>
      </c>
      <c r="I2" s="6">
        <v>0.1</v>
      </c>
    </row>
    <row r="3" spans="1:10" ht="13.5" thickBot="1" x14ac:dyDescent="0.25"/>
    <row r="4" spans="1:10" ht="13.5" thickBot="1" x14ac:dyDescent="0.25">
      <c r="B4" s="33" t="s">
        <v>5</v>
      </c>
      <c r="C4" s="34"/>
      <c r="E4" s="5" t="s">
        <v>7</v>
      </c>
      <c r="F4" s="6">
        <v>1E-4</v>
      </c>
      <c r="H4" s="7" t="s">
        <v>24</v>
      </c>
      <c r="I4" s="23">
        <f>SQRT(SUM(F9:F23))</f>
        <v>69.173839310644226</v>
      </c>
    </row>
    <row r="5" spans="1:10" ht="13.5" thickBot="1" x14ac:dyDescent="0.25">
      <c r="B5" s="1" t="s">
        <v>14</v>
      </c>
      <c r="C5" s="2">
        <v>1</v>
      </c>
    </row>
    <row r="6" spans="1:10" ht="13.5" thickBot="1" x14ac:dyDescent="0.25">
      <c r="A6" s="24" t="s">
        <v>22</v>
      </c>
      <c r="B6" s="3" t="s">
        <v>15</v>
      </c>
      <c r="C6" s="4">
        <v>1</v>
      </c>
      <c r="F6" s="35" t="s">
        <v>3</v>
      </c>
      <c r="G6" s="35" t="s">
        <v>2</v>
      </c>
      <c r="H6" s="35"/>
      <c r="I6" s="35" t="s">
        <v>6</v>
      </c>
      <c r="J6" s="35"/>
    </row>
    <row r="7" spans="1:10" ht="13.5" thickBot="1" x14ac:dyDescent="0.25">
      <c r="A7" s="7" t="s">
        <v>9</v>
      </c>
      <c r="B7" s="7" t="s">
        <v>10</v>
      </c>
      <c r="E7" s="7" t="s">
        <v>11</v>
      </c>
      <c r="F7" s="35"/>
      <c r="G7" s="35"/>
      <c r="H7" s="35"/>
      <c r="I7" s="35"/>
      <c r="J7" s="35"/>
    </row>
    <row r="8" spans="1:10" ht="15" thickBot="1" x14ac:dyDescent="0.25">
      <c r="A8" s="17" t="s">
        <v>0</v>
      </c>
      <c r="B8" s="18" t="s">
        <v>1</v>
      </c>
      <c r="C8" s="18" t="s">
        <v>14</v>
      </c>
      <c r="D8" s="18" t="s">
        <v>15</v>
      </c>
      <c r="E8" s="19" t="s">
        <v>16</v>
      </c>
      <c r="F8" s="20" t="s">
        <v>4</v>
      </c>
      <c r="G8" s="20" t="s">
        <v>17</v>
      </c>
      <c r="H8" s="20" t="s">
        <v>18</v>
      </c>
      <c r="I8" s="20" t="s">
        <v>19</v>
      </c>
      <c r="J8" s="20" t="s">
        <v>20</v>
      </c>
    </row>
    <row r="9" spans="1:10" x14ac:dyDescent="0.2">
      <c r="A9" s="12">
        <v>77</v>
      </c>
      <c r="B9" s="27">
        <v>25</v>
      </c>
      <c r="C9" s="10">
        <f>C5</f>
        <v>1</v>
      </c>
      <c r="D9" s="10">
        <f>C6</f>
        <v>1</v>
      </c>
      <c r="E9" s="27">
        <f>C9*A9+D9</f>
        <v>78</v>
      </c>
      <c r="F9" s="31">
        <f>IF(C9="", "", (B9-E9)^2)</f>
        <v>2809</v>
      </c>
      <c r="G9" s="31">
        <f>IF(F9="","",2*(E9-B9)*A9)</f>
        <v>8162</v>
      </c>
      <c r="H9" s="10">
        <f>IF(D9="", "", 2*(E9-B9))</f>
        <v>106</v>
      </c>
      <c r="I9" s="10">
        <f>IF(C9="", "", C9 - $F$4*G9)</f>
        <v>0.18379999999999996</v>
      </c>
      <c r="J9" s="11">
        <f>IF(D9="", "", D9 - $F$4*H9)</f>
        <v>0.98939999999999995</v>
      </c>
    </row>
    <row r="10" spans="1:10" x14ac:dyDescent="0.2">
      <c r="A10" s="13">
        <v>99</v>
      </c>
      <c r="B10" s="28">
        <v>37.222222222222221</v>
      </c>
      <c r="C10" s="31">
        <f>I9</f>
        <v>0.18379999999999996</v>
      </c>
      <c r="D10" s="31">
        <f>J9</f>
        <v>0.98939999999999995</v>
      </c>
      <c r="E10" s="28">
        <f t="shared" ref="E10:E23" si="0">C10*A10+D10</f>
        <v>19.185599999999997</v>
      </c>
      <c r="F10" s="31">
        <f>IF(C10="", "", (B10-E10)^2)</f>
        <v>325.31974118716056</v>
      </c>
      <c r="G10" s="31">
        <f>IF(F10="","",2*(E10-B10)*A10)</f>
        <v>-3571.2512000000002</v>
      </c>
      <c r="H10" s="10">
        <f t="shared" ref="H10:H23" si="1">IF(D10="", "", 2*(E10-B10))</f>
        <v>-36.073244444444448</v>
      </c>
      <c r="I10" s="10">
        <f t="shared" ref="I10:I23" si="2">IF(C10="", "", C10 - $F$4*G10)</f>
        <v>0.54092512000000004</v>
      </c>
      <c r="J10" s="11">
        <f t="shared" ref="J10:J23" si="3">IF(D10="", "", D10 - $F$4*H10)</f>
        <v>0.99300732444444439</v>
      </c>
    </row>
    <row r="11" spans="1:10" x14ac:dyDescent="0.2">
      <c r="A11" s="13">
        <v>1</v>
      </c>
      <c r="B11" s="28">
        <v>-17.222222222222221</v>
      </c>
      <c r="C11" s="31">
        <f t="shared" ref="C11:C23" si="4">I10</f>
        <v>0.54092512000000004</v>
      </c>
      <c r="D11" s="31">
        <f t="shared" ref="D11:D23" si="5">J10</f>
        <v>0.99300732444444439</v>
      </c>
      <c r="E11" s="28">
        <f t="shared" si="0"/>
        <v>1.5339324444444444</v>
      </c>
      <c r="F11" s="31">
        <f t="shared" ref="F11:F23" si="6">IF(C11="", "", (B11-E11)^2)</f>
        <v>351.79333787992181</v>
      </c>
      <c r="G11" s="31">
        <f t="shared" ref="G11:G23" si="7">IF(F11="","",2*(E11-B11)*A11)</f>
        <v>37.512309333333334</v>
      </c>
      <c r="H11" s="10">
        <f t="shared" si="1"/>
        <v>37.512309333333334</v>
      </c>
      <c r="I11" s="10">
        <f t="shared" si="2"/>
        <v>0.53717388906666674</v>
      </c>
      <c r="J11" s="11">
        <f t="shared" si="3"/>
        <v>0.9892560935111111</v>
      </c>
    </row>
    <row r="12" spans="1:10" x14ac:dyDescent="0.2">
      <c r="A12" s="13">
        <v>21</v>
      </c>
      <c r="B12" s="28">
        <v>-6.1111111111111107</v>
      </c>
      <c r="C12" s="31">
        <f t="shared" si="4"/>
        <v>0.53717388906666674</v>
      </c>
      <c r="D12" s="31">
        <f t="shared" si="5"/>
        <v>0.9892560935111111</v>
      </c>
      <c r="E12" s="28">
        <f t="shared" si="0"/>
        <v>12.269907763911112</v>
      </c>
      <c r="F12" s="31">
        <f t="shared" si="6"/>
        <v>337.86185488392317</v>
      </c>
      <c r="G12" s="31">
        <f t="shared" si="7"/>
        <v>772.00279275093328</v>
      </c>
      <c r="H12" s="10">
        <f t="shared" si="1"/>
        <v>36.762037750044442</v>
      </c>
      <c r="I12" s="10">
        <f t="shared" si="2"/>
        <v>0.45997360979157342</v>
      </c>
      <c r="J12" s="11">
        <f t="shared" si="3"/>
        <v>0.98557988973610666</v>
      </c>
    </row>
    <row r="13" spans="1:10" x14ac:dyDescent="0.2">
      <c r="A13" s="13">
        <v>91</v>
      </c>
      <c r="B13" s="28">
        <v>32.777777777777779</v>
      </c>
      <c r="C13" s="31">
        <f t="shared" si="4"/>
        <v>0.45997360979157342</v>
      </c>
      <c r="D13" s="31">
        <f t="shared" si="5"/>
        <v>0.98557988973610666</v>
      </c>
      <c r="E13" s="28">
        <f t="shared" si="0"/>
        <v>42.843178380769288</v>
      </c>
      <c r="F13" s="31">
        <f t="shared" si="6"/>
        <v>101.31228929870184</v>
      </c>
      <c r="G13" s="31">
        <f t="shared" si="7"/>
        <v>1831.9029097444547</v>
      </c>
      <c r="H13" s="10">
        <f t="shared" si="1"/>
        <v>20.130801205983019</v>
      </c>
      <c r="I13" s="10">
        <f t="shared" si="2"/>
        <v>0.27678331881712792</v>
      </c>
      <c r="J13" s="11">
        <f t="shared" si="3"/>
        <v>0.98356680961550835</v>
      </c>
    </row>
    <row r="14" spans="1:10" x14ac:dyDescent="0.2">
      <c r="A14" s="13">
        <v>44</v>
      </c>
      <c r="B14" s="28">
        <v>6.6666666666666679</v>
      </c>
      <c r="C14" s="31">
        <f t="shared" si="4"/>
        <v>0.27678331881712792</v>
      </c>
      <c r="D14" s="31">
        <f t="shared" si="5"/>
        <v>0.98356680961550835</v>
      </c>
      <c r="E14" s="28">
        <f t="shared" si="0"/>
        <v>13.162032837569138</v>
      </c>
      <c r="F14" s="31">
        <f t="shared" si="6"/>
        <v>42.189781694104212</v>
      </c>
      <c r="G14" s="31">
        <f t="shared" si="7"/>
        <v>571.59222303941738</v>
      </c>
      <c r="H14" s="10">
        <f t="shared" si="1"/>
        <v>12.990732341804939</v>
      </c>
      <c r="I14" s="10">
        <f t="shared" si="2"/>
        <v>0.21962409651318618</v>
      </c>
      <c r="J14" s="11">
        <f t="shared" si="3"/>
        <v>0.98226773638132781</v>
      </c>
    </row>
    <row r="15" spans="1:10" x14ac:dyDescent="0.2">
      <c r="A15" s="13">
        <v>62</v>
      </c>
      <c r="B15" s="28">
        <v>16.666666666666664</v>
      </c>
      <c r="C15" s="31">
        <f t="shared" si="4"/>
        <v>0.21962409651318618</v>
      </c>
      <c r="D15" s="31">
        <f t="shared" si="5"/>
        <v>0.98226773638132781</v>
      </c>
      <c r="E15" s="28">
        <f t="shared" si="0"/>
        <v>14.59896172019887</v>
      </c>
      <c r="F15" s="31">
        <f t="shared" si="6"/>
        <v>4.2754037456473828</v>
      </c>
      <c r="G15" s="31">
        <f t="shared" si="7"/>
        <v>-256.39541336200642</v>
      </c>
      <c r="H15" s="10">
        <f t="shared" si="1"/>
        <v>-4.1354098929355878</v>
      </c>
      <c r="I15" s="10">
        <f t="shared" si="2"/>
        <v>0.24526363784938682</v>
      </c>
      <c r="J15" s="11">
        <f t="shared" si="3"/>
        <v>0.98268127737062139</v>
      </c>
    </row>
    <row r="16" spans="1:10" x14ac:dyDescent="0.2">
      <c r="A16" s="13">
        <v>41</v>
      </c>
      <c r="B16" s="28">
        <v>5</v>
      </c>
      <c r="C16" s="31">
        <f t="shared" si="4"/>
        <v>0.24526363784938682</v>
      </c>
      <c r="D16" s="31">
        <f t="shared" si="5"/>
        <v>0.98268127737062139</v>
      </c>
      <c r="E16" s="28">
        <f t="shared" si="0"/>
        <v>11.038490429195482</v>
      </c>
      <c r="F16" s="31">
        <f t="shared" si="6"/>
        <v>36.463366663485438</v>
      </c>
      <c r="G16" s="31">
        <f t="shared" si="7"/>
        <v>495.15621519402953</v>
      </c>
      <c r="H16" s="10">
        <f t="shared" si="1"/>
        <v>12.076980858390964</v>
      </c>
      <c r="I16" s="10">
        <f t="shared" si="2"/>
        <v>0.19574801632998387</v>
      </c>
      <c r="J16" s="11">
        <f t="shared" si="3"/>
        <v>0.98147357928478229</v>
      </c>
    </row>
    <row r="17" spans="1:10" x14ac:dyDescent="0.2">
      <c r="A17" s="13">
        <v>48</v>
      </c>
      <c r="B17" s="28">
        <v>8.8888888888888893</v>
      </c>
      <c r="C17" s="31">
        <f t="shared" si="4"/>
        <v>0.19574801632998387</v>
      </c>
      <c r="D17" s="31">
        <f t="shared" si="5"/>
        <v>0.98147357928478229</v>
      </c>
      <c r="E17" s="28">
        <f t="shared" si="0"/>
        <v>10.377378363124009</v>
      </c>
      <c r="F17" s="31">
        <f t="shared" si="6"/>
        <v>2.2156009149087441</v>
      </c>
      <c r="G17" s="31">
        <f t="shared" si="7"/>
        <v>142.89498952657152</v>
      </c>
      <c r="H17" s="10">
        <f t="shared" si="1"/>
        <v>2.97697894847024</v>
      </c>
      <c r="I17" s="10">
        <f t="shared" si="2"/>
        <v>0.18145851737732671</v>
      </c>
      <c r="J17" s="11">
        <f t="shared" si="3"/>
        <v>0.98117588138993528</v>
      </c>
    </row>
    <row r="18" spans="1:10" x14ac:dyDescent="0.2">
      <c r="A18" s="13">
        <v>5</v>
      </c>
      <c r="B18" s="28">
        <v>-15</v>
      </c>
      <c r="C18" s="31">
        <f t="shared" si="4"/>
        <v>0.18145851737732671</v>
      </c>
      <c r="D18" s="31">
        <f t="shared" si="5"/>
        <v>0.98117588138993528</v>
      </c>
      <c r="E18" s="28">
        <f t="shared" si="0"/>
        <v>1.8884684682765687</v>
      </c>
      <c r="F18" s="31">
        <f t="shared" si="6"/>
        <v>285.22036720397188</v>
      </c>
      <c r="G18" s="31">
        <f t="shared" si="7"/>
        <v>168.88468468276568</v>
      </c>
      <c r="H18" s="10">
        <f t="shared" si="1"/>
        <v>33.776936936553135</v>
      </c>
      <c r="I18" s="10">
        <f t="shared" si="2"/>
        <v>0.16457004890905014</v>
      </c>
      <c r="J18" s="11">
        <f t="shared" si="3"/>
        <v>0.97779818769628002</v>
      </c>
    </row>
    <row r="19" spans="1:10" x14ac:dyDescent="0.2">
      <c r="A19" s="13">
        <v>62</v>
      </c>
      <c r="B19" s="28">
        <v>16.666666666666664</v>
      </c>
      <c r="C19" s="31">
        <f t="shared" si="4"/>
        <v>0.16457004890905014</v>
      </c>
      <c r="D19" s="31">
        <f t="shared" si="5"/>
        <v>0.97779818769628002</v>
      </c>
      <c r="E19" s="28">
        <f t="shared" si="0"/>
        <v>11.181141220057388</v>
      </c>
      <c r="F19" s="31">
        <f t="shared" si="6"/>
        <v>30.090989425397904</v>
      </c>
      <c r="G19" s="31">
        <f t="shared" si="7"/>
        <v>-680.20515537955032</v>
      </c>
      <c r="H19" s="10">
        <f t="shared" si="1"/>
        <v>-10.971050893218553</v>
      </c>
      <c r="I19" s="10">
        <f t="shared" si="2"/>
        <v>0.23259056444700515</v>
      </c>
      <c r="J19" s="11">
        <f t="shared" si="3"/>
        <v>0.97889529278560183</v>
      </c>
    </row>
    <row r="20" spans="1:10" x14ac:dyDescent="0.2">
      <c r="A20" s="13">
        <v>3</v>
      </c>
      <c r="B20" s="28">
        <v>-16.111111111111111</v>
      </c>
      <c r="C20" s="31">
        <f t="shared" si="4"/>
        <v>0.23259056444700515</v>
      </c>
      <c r="D20" s="31">
        <f t="shared" si="5"/>
        <v>0.97889529278560183</v>
      </c>
      <c r="E20" s="28">
        <f t="shared" si="0"/>
        <v>1.6766669861266172</v>
      </c>
      <c r="F20" s="31">
        <f t="shared" si="6"/>
        <v>316.4050496365702</v>
      </c>
      <c r="G20" s="31">
        <f t="shared" si="7"/>
        <v>106.72666858342636</v>
      </c>
      <c r="H20" s="10">
        <f t="shared" si="1"/>
        <v>35.575556194475453</v>
      </c>
      <c r="I20" s="10">
        <f t="shared" si="2"/>
        <v>0.22191789758866251</v>
      </c>
      <c r="J20" s="11">
        <f t="shared" si="3"/>
        <v>0.97533773716615424</v>
      </c>
    </row>
    <row r="21" spans="1:10" x14ac:dyDescent="0.2">
      <c r="A21" s="13">
        <v>66</v>
      </c>
      <c r="B21" s="28">
        <v>18.888888888888893</v>
      </c>
      <c r="C21" s="31">
        <f t="shared" si="4"/>
        <v>0.22191789758866251</v>
      </c>
      <c r="D21" s="31">
        <f t="shared" si="5"/>
        <v>0.97533773716615424</v>
      </c>
      <c r="E21" s="28">
        <f t="shared" si="0"/>
        <v>15.621918978017879</v>
      </c>
      <c r="F21" s="31">
        <f t="shared" si="6"/>
        <v>10.673092398536559</v>
      </c>
      <c r="G21" s="31">
        <f t="shared" si="7"/>
        <v>-431.24002823497381</v>
      </c>
      <c r="H21" s="10">
        <f t="shared" si="1"/>
        <v>-6.5339398217420275</v>
      </c>
      <c r="I21" s="10">
        <f t="shared" si="2"/>
        <v>0.26504190041215991</v>
      </c>
      <c r="J21" s="11">
        <f t="shared" si="3"/>
        <v>0.97599113114832847</v>
      </c>
    </row>
    <row r="22" spans="1:10" x14ac:dyDescent="0.2">
      <c r="A22" s="13">
        <v>46</v>
      </c>
      <c r="B22" s="28">
        <v>7.7777777777777786</v>
      </c>
      <c r="C22" s="31">
        <f t="shared" si="4"/>
        <v>0.26504190041215991</v>
      </c>
      <c r="D22" s="31">
        <f t="shared" si="5"/>
        <v>0.97599113114832847</v>
      </c>
      <c r="E22" s="28">
        <f t="shared" si="0"/>
        <v>13.167918550107684</v>
      </c>
      <c r="F22" s="31">
        <f t="shared" si="6"/>
        <v>29.053617545533232</v>
      </c>
      <c r="G22" s="31">
        <f t="shared" si="7"/>
        <v>495.89295105435133</v>
      </c>
      <c r="H22" s="10">
        <f t="shared" si="1"/>
        <v>10.780281544659811</v>
      </c>
      <c r="I22" s="10">
        <f t="shared" si="2"/>
        <v>0.21545260530672478</v>
      </c>
      <c r="J22" s="11">
        <f t="shared" si="3"/>
        <v>0.97491310299386247</v>
      </c>
    </row>
    <row r="23" spans="1:10" ht="13.5" thickBot="1" x14ac:dyDescent="0.25">
      <c r="A23" s="14">
        <v>85</v>
      </c>
      <c r="B23" s="29">
        <v>29.444444444444443</v>
      </c>
      <c r="C23" s="31">
        <f t="shared" si="4"/>
        <v>0.21545260530672478</v>
      </c>
      <c r="D23" s="31">
        <f t="shared" si="5"/>
        <v>0.97491310299386247</v>
      </c>
      <c r="E23" s="29">
        <f t="shared" si="0"/>
        <v>19.28838455406547</v>
      </c>
      <c r="F23" s="31">
        <f t="shared" si="6"/>
        <v>103.14555249696456</v>
      </c>
      <c r="G23" s="31">
        <f t="shared" si="7"/>
        <v>-1726.5301813644255</v>
      </c>
      <c r="H23" s="10">
        <f t="shared" si="1"/>
        <v>-20.312119780757946</v>
      </c>
      <c r="I23" s="10">
        <f t="shared" si="2"/>
        <v>0.38810562344316735</v>
      </c>
      <c r="J23" s="11">
        <f t="shared" si="3"/>
        <v>0.97694431497193823</v>
      </c>
    </row>
    <row r="25" spans="1:10" ht="13.5" thickBot="1" x14ac:dyDescent="0.25">
      <c r="A25" s="24" t="s">
        <v>21</v>
      </c>
    </row>
    <row r="26" spans="1:10" ht="13.5" thickBot="1" x14ac:dyDescent="0.25">
      <c r="A26" s="17" t="s">
        <v>9</v>
      </c>
      <c r="B26" s="17" t="s">
        <v>23</v>
      </c>
    </row>
    <row r="27" spans="1:10" x14ac:dyDescent="0.2">
      <c r="A27" s="13">
        <v>42</v>
      </c>
      <c r="B27" s="32">
        <f>A27*$C$5+$C$6</f>
        <v>43</v>
      </c>
    </row>
    <row r="28" spans="1:10" x14ac:dyDescent="0.2">
      <c r="A28" s="13">
        <v>91</v>
      </c>
      <c r="B28" s="32">
        <f>A28*$C$5+$C$6</f>
        <v>92</v>
      </c>
    </row>
    <row r="29" spans="1:10" x14ac:dyDescent="0.2">
      <c r="A29" s="13">
        <v>36</v>
      </c>
      <c r="B29" s="32">
        <f>A29*$C$5+$C$6</f>
        <v>37</v>
      </c>
    </row>
  </sheetData>
  <mergeCells count="4">
    <mergeCell ref="B4:C4"/>
    <mergeCell ref="F6:F7"/>
    <mergeCell ref="G6:H7"/>
    <mergeCell ref="I6:J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optimize">
                <anchor moveWithCells="1" sizeWithCells="1">
                  <from>
                    <xdr:col>0</xdr:col>
                    <xdr:colOff>28575</xdr:colOff>
                    <xdr:row>1</xdr:row>
                    <xdr:rowOff>19050</xdr:rowOff>
                  </from>
                  <to>
                    <xdr:col>1</xdr:col>
                    <xdr:colOff>9525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reinitialize">
                <anchor moveWithCells="1" sizeWithCells="1"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66"/>
  <sheetViews>
    <sheetView zoomScaleNormal="100" workbookViewId="0">
      <selection activeCell="D6" sqref="D6:E20"/>
    </sheetView>
  </sheetViews>
  <sheetFormatPr defaultRowHeight="12.75" x14ac:dyDescent="0.2"/>
  <cols>
    <col min="2" max="3" width="0" hidden="1" customWidth="1"/>
    <col min="4" max="4" width="17.140625" customWidth="1"/>
    <col min="5" max="5" width="14.42578125" customWidth="1"/>
  </cols>
  <sheetData>
    <row r="2" spans="2:5" x14ac:dyDescent="0.2">
      <c r="B2">
        <v>16</v>
      </c>
    </row>
    <row r="4" spans="2:5" x14ac:dyDescent="0.2">
      <c r="D4" s="36"/>
      <c r="E4" s="36"/>
    </row>
    <row r="5" spans="2:5" x14ac:dyDescent="0.2">
      <c r="D5" s="21" t="s">
        <v>13</v>
      </c>
      <c r="E5" s="21" t="s">
        <v>12</v>
      </c>
    </row>
    <row r="6" spans="2:5" x14ac:dyDescent="0.2">
      <c r="E6" s="30"/>
    </row>
    <row r="7" spans="2:5" x14ac:dyDescent="0.2">
      <c r="E7" s="30"/>
    </row>
    <row r="8" spans="2:5" x14ac:dyDescent="0.2">
      <c r="E8" s="30"/>
    </row>
    <row r="9" spans="2:5" x14ac:dyDescent="0.2">
      <c r="E9" s="30"/>
    </row>
    <row r="10" spans="2:5" x14ac:dyDescent="0.2">
      <c r="E10" s="30"/>
    </row>
    <row r="11" spans="2:5" x14ac:dyDescent="0.2">
      <c r="E11" s="30"/>
    </row>
    <row r="12" spans="2:5" x14ac:dyDescent="0.2">
      <c r="E12" s="30"/>
    </row>
    <row r="13" spans="2:5" x14ac:dyDescent="0.2">
      <c r="E13" s="30"/>
    </row>
    <row r="14" spans="2:5" x14ac:dyDescent="0.2">
      <c r="E14" s="30"/>
    </row>
    <row r="15" spans="2:5" x14ac:dyDescent="0.2">
      <c r="E15" s="30"/>
    </row>
    <row r="16" spans="2:5" x14ac:dyDescent="0.2">
      <c r="E16" s="30"/>
    </row>
    <row r="17" spans="5:5" x14ac:dyDescent="0.2">
      <c r="E17" s="30"/>
    </row>
    <row r="18" spans="5:5" x14ac:dyDescent="0.2">
      <c r="E18" s="30"/>
    </row>
    <row r="19" spans="5:5" x14ac:dyDescent="0.2">
      <c r="E19" s="30"/>
    </row>
    <row r="20" spans="5:5" x14ac:dyDescent="0.2">
      <c r="E20" s="30"/>
    </row>
    <row r="21" spans="5:5" x14ac:dyDescent="0.2">
      <c r="E21" s="30"/>
    </row>
    <row r="22" spans="5:5" x14ac:dyDescent="0.2">
      <c r="E22" s="30"/>
    </row>
    <row r="23" spans="5:5" x14ac:dyDescent="0.2">
      <c r="E23" s="30"/>
    </row>
    <row r="24" spans="5:5" x14ac:dyDescent="0.2">
      <c r="E24" s="30"/>
    </row>
    <row r="25" spans="5:5" x14ac:dyDescent="0.2">
      <c r="E25" s="30"/>
    </row>
    <row r="26" spans="5:5" x14ac:dyDescent="0.2">
      <c r="E26" s="30"/>
    </row>
    <row r="27" spans="5:5" x14ac:dyDescent="0.2">
      <c r="E27" s="30"/>
    </row>
    <row r="28" spans="5:5" x14ac:dyDescent="0.2">
      <c r="E28" s="30"/>
    </row>
    <row r="29" spans="5:5" x14ac:dyDescent="0.2">
      <c r="E29" s="30"/>
    </row>
    <row r="30" spans="5:5" x14ac:dyDescent="0.2">
      <c r="E30" s="30"/>
    </row>
    <row r="31" spans="5:5" x14ac:dyDescent="0.2">
      <c r="E31" s="30"/>
    </row>
    <row r="32" spans="5:5" x14ac:dyDescent="0.2">
      <c r="E32" s="30"/>
    </row>
    <row r="33" spans="5:5" x14ac:dyDescent="0.2">
      <c r="E33" s="30"/>
    </row>
    <row r="34" spans="5:5" x14ac:dyDescent="0.2">
      <c r="E34" s="30"/>
    </row>
    <row r="35" spans="5:5" x14ac:dyDescent="0.2">
      <c r="E35" s="30"/>
    </row>
    <row r="36" spans="5:5" x14ac:dyDescent="0.2">
      <c r="E36" s="30"/>
    </row>
    <row r="37" spans="5:5" x14ac:dyDescent="0.2">
      <c r="E37" s="30"/>
    </row>
    <row r="38" spans="5:5" x14ac:dyDescent="0.2">
      <c r="E38" s="30"/>
    </row>
    <row r="39" spans="5:5" x14ac:dyDescent="0.2">
      <c r="E39" s="30"/>
    </row>
    <row r="40" spans="5:5" x14ac:dyDescent="0.2">
      <c r="E40" s="30"/>
    </row>
    <row r="41" spans="5:5" x14ac:dyDescent="0.2">
      <c r="E41" s="30"/>
    </row>
    <row r="42" spans="5:5" x14ac:dyDescent="0.2">
      <c r="E42" s="30"/>
    </row>
    <row r="43" spans="5:5" x14ac:dyDescent="0.2">
      <c r="E43" s="30"/>
    </row>
    <row r="44" spans="5:5" x14ac:dyDescent="0.2">
      <c r="E44" s="30"/>
    </row>
    <row r="45" spans="5:5" x14ac:dyDescent="0.2">
      <c r="E45" s="30"/>
    </row>
    <row r="46" spans="5:5" x14ac:dyDescent="0.2">
      <c r="E46" s="30"/>
    </row>
    <row r="47" spans="5:5" x14ac:dyDescent="0.2">
      <c r="E47" s="30"/>
    </row>
    <row r="48" spans="5:5" x14ac:dyDescent="0.2">
      <c r="E48" s="30"/>
    </row>
    <row r="49" spans="5:5" x14ac:dyDescent="0.2">
      <c r="E49" s="30"/>
    </row>
    <row r="50" spans="5:5" x14ac:dyDescent="0.2">
      <c r="E50" s="30"/>
    </row>
    <row r="51" spans="5:5" x14ac:dyDescent="0.2">
      <c r="E51" s="30"/>
    </row>
    <row r="52" spans="5:5" x14ac:dyDescent="0.2">
      <c r="E52" s="30"/>
    </row>
    <row r="53" spans="5:5" x14ac:dyDescent="0.2">
      <c r="E53" s="30"/>
    </row>
    <row r="54" spans="5:5" x14ac:dyDescent="0.2">
      <c r="E54" s="30"/>
    </row>
    <row r="55" spans="5:5" x14ac:dyDescent="0.2">
      <c r="E55" s="30"/>
    </row>
    <row r="56" spans="5:5" x14ac:dyDescent="0.2">
      <c r="E56" s="30"/>
    </row>
    <row r="57" spans="5:5" x14ac:dyDescent="0.2">
      <c r="E57" s="30"/>
    </row>
    <row r="58" spans="5:5" x14ac:dyDescent="0.2">
      <c r="E58" s="30"/>
    </row>
    <row r="59" spans="5:5" x14ac:dyDescent="0.2">
      <c r="E59" s="30"/>
    </row>
    <row r="60" spans="5:5" x14ac:dyDescent="0.2">
      <c r="E60" s="30"/>
    </row>
    <row r="61" spans="5:5" x14ac:dyDescent="0.2">
      <c r="E61" s="30"/>
    </row>
    <row r="62" spans="5:5" x14ac:dyDescent="0.2">
      <c r="E62" s="30"/>
    </row>
    <row r="63" spans="5:5" x14ac:dyDescent="0.2">
      <c r="E63" s="30"/>
    </row>
    <row r="64" spans="5:5" x14ac:dyDescent="0.2">
      <c r="E64" s="30"/>
    </row>
    <row r="65" spans="5:5" x14ac:dyDescent="0.2">
      <c r="E65" s="30"/>
    </row>
    <row r="66" spans="5:5" x14ac:dyDescent="0.2">
      <c r="E66" s="30"/>
    </row>
  </sheetData>
  <mergeCells count="1">
    <mergeCell ref="D4:E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data</vt:lpstr>
      <vt:lpstr>lr_sgd</vt:lpstr>
      <vt:lpstr>visualization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Natarajan, Ramesh</dc:creator>
  <cp:lastModifiedBy>Natarajan, Ramesh</cp:lastModifiedBy>
  <dcterms:created xsi:type="dcterms:W3CDTF">2018-07-03T16:55:08Z</dcterms:created>
  <dcterms:modified xsi:type="dcterms:W3CDTF">2018-08-29T05:44:05Z</dcterms:modified>
</cp:coreProperties>
</file>