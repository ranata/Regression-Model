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582325\Desktop\"/>
    </mc:Choice>
  </mc:AlternateContent>
  <bookViews>
    <workbookView xWindow="0" yWindow="0" windowWidth="20490" windowHeight="7725" activeTab="1"/>
  </bookViews>
  <sheets>
    <sheet name="data" sheetId="2" r:id="rId1"/>
    <sheet name="lr_sgd" sheetId="1" r:id="rId2"/>
    <sheet name="visualization" sheetId="3" r:id="rId3"/>
  </sheet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2" l="1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9" i="1"/>
  <c r="C9" i="1"/>
  <c r="E9" i="1" l="1"/>
  <c r="F9" i="1" s="1"/>
  <c r="H9" i="1" l="1"/>
  <c r="J9" i="1" s="1"/>
  <c r="D10" i="1" s="1"/>
  <c r="G9" i="1"/>
  <c r="I9" i="1" s="1"/>
  <c r="C10" i="1" s="1"/>
  <c r="E10" i="1" l="1"/>
  <c r="G10" i="1" l="1"/>
  <c r="I10" i="1" s="1"/>
  <c r="C11" i="1" s="1"/>
  <c r="F10" i="1"/>
  <c r="H10" i="1"/>
  <c r="J10" i="1" s="1"/>
  <c r="D11" i="1" s="1"/>
  <c r="E11" i="1" l="1"/>
  <c r="H11" i="1" s="1"/>
  <c r="J11" i="1" s="1"/>
  <c r="D12" i="1" s="1"/>
  <c r="G11" i="1" l="1"/>
  <c r="I11" i="1" s="1"/>
  <c r="C12" i="1" s="1"/>
  <c r="E12" i="1" s="1"/>
  <c r="F11" i="1"/>
  <c r="G12" i="1" l="1"/>
  <c r="I12" i="1" s="1"/>
  <c r="C13" i="1" s="1"/>
  <c r="H12" i="1"/>
  <c r="J12" i="1" s="1"/>
  <c r="D13" i="1" s="1"/>
  <c r="F12" i="1"/>
  <c r="E13" i="1" l="1"/>
  <c r="H13" i="1" l="1"/>
  <c r="J13" i="1" s="1"/>
  <c r="D14" i="1" s="1"/>
  <c r="G13" i="1"/>
  <c r="I13" i="1" s="1"/>
  <c r="C14" i="1" s="1"/>
  <c r="F13" i="1"/>
  <c r="E14" i="1" l="1"/>
  <c r="F14" i="1" s="1"/>
  <c r="G14" i="1" l="1"/>
  <c r="I14" i="1" s="1"/>
  <c r="C15" i="1" s="1"/>
  <c r="H14" i="1"/>
  <c r="J14" i="1" s="1"/>
  <c r="D15" i="1" s="1"/>
  <c r="E15" i="1" l="1"/>
  <c r="H15" i="1" s="1"/>
  <c r="J15" i="1" s="1"/>
  <c r="D16" i="1" s="1"/>
  <c r="F15" i="1" l="1"/>
  <c r="G15" i="1"/>
  <c r="I15" i="1" s="1"/>
  <c r="C16" i="1" s="1"/>
  <c r="E16" i="1" s="1"/>
  <c r="G16" i="1" s="1"/>
  <c r="I16" i="1" s="1"/>
  <c r="C17" i="1" s="1"/>
  <c r="H16" i="1" l="1"/>
  <c r="J16" i="1" s="1"/>
  <c r="D17" i="1" s="1"/>
  <c r="E17" i="1" s="1"/>
  <c r="F16" i="1"/>
  <c r="F17" i="1" l="1"/>
  <c r="H17" i="1"/>
  <c r="J17" i="1" s="1"/>
  <c r="D18" i="1" s="1"/>
  <c r="G17" i="1"/>
  <c r="I17" i="1" s="1"/>
  <c r="C18" i="1" s="1"/>
  <c r="E18" i="1" l="1"/>
  <c r="H18" i="1" l="1"/>
  <c r="J18" i="1" s="1"/>
  <c r="D19" i="1" s="1"/>
  <c r="G18" i="1"/>
  <c r="I18" i="1" s="1"/>
  <c r="C19" i="1" s="1"/>
  <c r="F18" i="1"/>
  <c r="E19" i="1" l="1"/>
  <c r="H19" i="1" l="1"/>
  <c r="J19" i="1" s="1"/>
  <c r="D20" i="1" s="1"/>
  <c r="F19" i="1"/>
  <c r="G19" i="1"/>
  <c r="I19" i="1" s="1"/>
  <c r="C20" i="1" s="1"/>
  <c r="E20" i="1" l="1"/>
  <c r="G20" i="1" l="1"/>
  <c r="I20" i="1" s="1"/>
  <c r="C21" i="1" s="1"/>
  <c r="H20" i="1"/>
  <c r="J20" i="1" s="1"/>
  <c r="D21" i="1" s="1"/>
  <c r="F20" i="1"/>
  <c r="E21" i="1" l="1"/>
  <c r="F21" i="1" l="1"/>
  <c r="H21" i="1"/>
  <c r="J21" i="1" s="1"/>
  <c r="D22" i="1" s="1"/>
  <c r="G21" i="1"/>
  <c r="I21" i="1" s="1"/>
  <c r="C22" i="1" s="1"/>
  <c r="E22" i="1" l="1"/>
  <c r="G22" i="1" l="1"/>
  <c r="I22" i="1" s="1"/>
  <c r="C23" i="1" s="1"/>
  <c r="F22" i="1"/>
  <c r="H22" i="1"/>
  <c r="J22" i="1" s="1"/>
  <c r="D23" i="1" s="1"/>
  <c r="E23" i="1" l="1"/>
  <c r="H23" i="1" l="1"/>
  <c r="J23" i="1" s="1"/>
  <c r="G23" i="1"/>
  <c r="I23" i="1" s="1"/>
  <c r="F23" i="1"/>
  <c r="I4" i="1" s="1"/>
</calcChain>
</file>

<file path=xl/comments1.xml><?xml version="1.0" encoding="utf-8"?>
<comments xmlns="http://schemas.openxmlformats.org/spreadsheetml/2006/main">
  <authors>
    <author>Natarajan, Ramesh</author>
  </authors>
  <commentList>
    <comment ref="G8" authorId="0" shapeId="0">
      <text>
        <r>
          <rPr>
            <b/>
            <sz val="9"/>
            <color indexed="81"/>
            <rFont val="Tahoma"/>
            <family val="2"/>
          </rPr>
          <t>Natarajan, Ramesh:</t>
        </r>
        <r>
          <rPr>
            <sz val="9"/>
            <color indexed="81"/>
            <rFont val="Tahoma"/>
            <family val="2"/>
          </rPr>
          <t xml:space="preserve">
First Order Partial Derivate w.r.t </t>
        </r>
        <r>
          <rPr>
            <b/>
            <sz val="9"/>
            <color indexed="81"/>
            <rFont val="Tahoma"/>
            <family val="2"/>
          </rPr>
          <t>w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Natarajan, Ramesh:</t>
        </r>
        <r>
          <rPr>
            <sz val="9"/>
            <color indexed="81"/>
            <rFont val="Tahoma"/>
            <family val="2"/>
          </rPr>
          <t xml:space="preserve">
First Order Partial Derivate w.r.t </t>
        </r>
        <r>
          <rPr>
            <b/>
            <sz val="9"/>
            <color indexed="81"/>
            <rFont val="Tahoma"/>
            <family val="2"/>
          </rPr>
          <t>b</t>
        </r>
      </text>
    </comment>
  </commentList>
</comments>
</file>

<file path=xl/sharedStrings.xml><?xml version="1.0" encoding="utf-8"?>
<sst xmlns="http://schemas.openxmlformats.org/spreadsheetml/2006/main" count="28" uniqueCount="22">
  <si>
    <t>x</t>
  </si>
  <si>
    <t>y</t>
  </si>
  <si>
    <t>Gradient</t>
  </si>
  <si>
    <t>Squared Deviation</t>
  </si>
  <si>
    <t>err^2 = (ŷ - y)^2</t>
  </si>
  <si>
    <t>Weights</t>
  </si>
  <si>
    <t>New Weights</t>
  </si>
  <si>
    <t>α (learning rate)</t>
  </si>
  <si>
    <t>error threshold</t>
  </si>
  <si>
    <t>Input</t>
  </si>
  <si>
    <t>Actual Output</t>
  </si>
  <si>
    <t>Predicted Output</t>
  </si>
  <si>
    <t>RMSE</t>
  </si>
  <si>
    <t># of Epochs</t>
  </si>
  <si>
    <t>w</t>
  </si>
  <si>
    <t>b</t>
  </si>
  <si>
    <t>ŷ=w*x + b</t>
  </si>
  <si>
    <t>dw = 2(ŷ - y)x</t>
  </si>
  <si>
    <t>db = 2(ŷ - y)</t>
  </si>
  <si>
    <r>
      <t>w = w - α</t>
    </r>
    <r>
      <rPr>
        <b/>
        <i/>
        <sz val="11"/>
        <color theme="1"/>
        <rFont val="Arial"/>
        <family val="2"/>
      </rPr>
      <t>*dw</t>
    </r>
  </si>
  <si>
    <r>
      <t>b = b - α</t>
    </r>
    <r>
      <rPr>
        <b/>
        <i/>
        <sz val="11"/>
        <color theme="1"/>
        <rFont val="Arial"/>
        <family val="2"/>
      </rPr>
      <t>*db</t>
    </r>
  </si>
  <si>
    <t>Cost (rmse)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</si>
</sst>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0"/>
    <numFmt numFmtId="166" formatCode="0.00000"/>
  </numFmts>
  <fonts count="11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b/>
      <i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.5"/>
      <color rgb="FF000000"/>
      <name val="Calibri"/>
      <family val="2"/>
    </font>
    <font>
      <b/>
      <sz val="10"/>
      <color rgb="FF000000"/>
      <name val="Calibri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BFFCB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3" borderId="4" xfId="0" applyFont="1" applyFill="1" applyBorder="1"/>
    <xf numFmtId="0" fontId="0" fillId="3" borderId="5" xfId="0" applyFill="1" applyBorder="1"/>
    <xf numFmtId="0" fontId="1" fillId="3" borderId="6" xfId="0" applyFont="1" applyFill="1" applyBorder="1"/>
    <xf numFmtId="0" fontId="0" fillId="3" borderId="7" xfId="0" applyFill="1" applyBorder="1"/>
    <xf numFmtId="0" fontId="2" fillId="4" borderId="14" xfId="0" applyFont="1" applyFill="1" applyBorder="1" applyAlignment="1">
      <alignment wrapText="1"/>
    </xf>
    <xf numFmtId="0" fontId="0" fillId="3" borderId="15" xfId="0" applyFill="1" applyBorder="1"/>
    <xf numFmtId="0" fontId="1" fillId="4" borderId="14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4" fillId="3" borderId="6" xfId="0" applyFont="1" applyFill="1" applyBorder="1"/>
    <xf numFmtId="0" fontId="4" fillId="3" borderId="7" xfId="0" applyFont="1" applyFill="1" applyBorder="1"/>
    <xf numFmtId="165" fontId="0" fillId="3" borderId="16" xfId="0" applyNumberFormat="1" applyFill="1" applyBorder="1"/>
    <xf numFmtId="165" fontId="0" fillId="3" borderId="17" xfId="0" applyNumberFormat="1" applyFill="1" applyBorder="1"/>
    <xf numFmtId="164" fontId="0" fillId="3" borderId="18" xfId="0" applyNumberFormat="1" applyFill="1" applyBorder="1"/>
    <xf numFmtId="164" fontId="0" fillId="3" borderId="8" xfId="0" applyNumberFormat="1" applyFill="1" applyBorder="1"/>
    <xf numFmtId="164" fontId="0" fillId="3" borderId="11" xfId="0" applyNumberForma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165" fontId="0" fillId="3" borderId="15" xfId="0" applyNumberFormat="1" applyFill="1" applyBorder="1"/>
    <xf numFmtId="164" fontId="0" fillId="5" borderId="16" xfId="0" applyNumberFormat="1" applyFill="1" applyBorder="1"/>
    <xf numFmtId="166" fontId="0" fillId="5" borderId="16" xfId="0" applyNumberFormat="1" applyFill="1" applyBorder="1"/>
    <xf numFmtId="164" fontId="10" fillId="5" borderId="9" xfId="0" applyNumberFormat="1" applyFont="1" applyFill="1" applyBorder="1"/>
    <xf numFmtId="164" fontId="10" fillId="5" borderId="12" xfId="0" applyNumberFormat="1" applyFont="1" applyFill="1" applyBorder="1"/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10" fillId="3" borderId="9" xfId="0" applyNumberFormat="1" applyFont="1" applyFill="1" applyBorder="1"/>
    <xf numFmtId="166" fontId="10" fillId="5" borderId="9" xfId="0" applyNumberFormat="1" applyFont="1" applyFill="1" applyBorder="1"/>
    <xf numFmtId="165" fontId="10" fillId="3" borderId="10" xfId="0" applyNumberFormat="1" applyFont="1" applyFill="1" applyBorder="1"/>
    <xf numFmtId="165" fontId="10" fillId="3" borderId="12" xfId="0" applyNumberFormat="1" applyFont="1" applyFill="1" applyBorder="1"/>
    <xf numFmtId="166" fontId="10" fillId="5" borderId="12" xfId="0" applyNumberFormat="1" applyFont="1" applyFill="1" applyBorder="1"/>
    <xf numFmtId="165" fontId="10" fillId="3" borderId="13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BFFCB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accent1">
                    <a:lumMod val="75000"/>
                  </a:schemeClr>
                </a:solidFill>
              </a:rPr>
              <a:t>Cost optimization using SGD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visualization!$E$4:$E$5</c:f>
              <c:strCache>
                <c:ptCount val="2"/>
                <c:pt idx="1">
                  <c:v>RMSE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visualization!$D$6:$D$117</c:f>
              <c:numCache>
                <c:formatCode>General</c:formatCode>
                <c:ptCount val="112"/>
              </c:numCache>
            </c:numRef>
          </c:xVal>
          <c:yVal>
            <c:numRef>
              <c:f>visualization!$E$6:$E$117</c:f>
              <c:numCache>
                <c:formatCode>0.0000</c:formatCode>
                <c:ptCount val="1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56-4219-BA37-1D5869291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759008"/>
        <c:axId val="855576320"/>
      </c:scatterChart>
      <c:valAx>
        <c:axId val="736759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solidFill>
                      <a:schemeClr val="accent1">
                        <a:lumMod val="75000"/>
                      </a:schemeClr>
                    </a:solidFill>
                  </a:rPr>
                  <a:t># of Epochs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576320"/>
        <c:crosses val="autoZero"/>
        <c:crossBetween val="midCat"/>
        <c:majorUnit val="500"/>
      </c:valAx>
      <c:valAx>
        <c:axId val="8555763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>
                    <a:solidFill>
                      <a:schemeClr val="accent1">
                        <a:lumMod val="75000"/>
                      </a:schemeClr>
                    </a:solidFill>
                  </a:rPr>
                  <a:t>RMSE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759008"/>
        <c:crosses val="autoZero"/>
        <c:crossBetween val="midCat"/>
      </c:valAx>
      <c:spPr>
        <a:solidFill>
          <a:srgbClr val="FBFFCB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19050</xdr:rowOff>
        </xdr:from>
        <xdr:to>
          <xdr:col>1</xdr:col>
          <xdr:colOff>9525</xdr:colOff>
          <xdr:row>2</xdr:row>
          <xdr:rowOff>47625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GB" sz="95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28575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2</xdr:row>
      <xdr:rowOff>9524</xdr:rowOff>
    </xdr:from>
    <xdr:to>
      <xdr:col>15</xdr:col>
      <xdr:colOff>171450</xdr:colOff>
      <xdr:row>24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D20"/>
  <sheetViews>
    <sheetView topLeftCell="A4" workbookViewId="0">
      <selection activeCell="F20" sqref="F20"/>
    </sheetView>
  </sheetViews>
  <sheetFormatPr defaultRowHeight="12.75" x14ac:dyDescent="0.2"/>
  <cols>
    <col min="3" max="3" width="21.7109375" customWidth="1"/>
    <col min="4" max="4" width="26" customWidth="1"/>
  </cols>
  <sheetData>
    <row r="1" spans="3:4" hidden="1" x14ac:dyDescent="0.2">
      <c r="C1" t="s">
        <v>14</v>
      </c>
      <c r="D1">
        <v>3.5</v>
      </c>
    </row>
    <row r="2" spans="3:4" hidden="1" x14ac:dyDescent="0.2">
      <c r="C2" t="s">
        <v>15</v>
      </c>
      <c r="D2">
        <v>26.5</v>
      </c>
    </row>
    <row r="3" spans="3:4" hidden="1" x14ac:dyDescent="0.2"/>
    <row r="4" spans="3:4" ht="13.5" thickBot="1" x14ac:dyDescent="0.25"/>
    <row r="5" spans="3:4" ht="28.5" customHeight="1" x14ac:dyDescent="0.2">
      <c r="C5" s="17" t="s">
        <v>0</v>
      </c>
      <c r="D5" s="18" t="s">
        <v>1</v>
      </c>
    </row>
    <row r="6" spans="3:4" ht="14.25" x14ac:dyDescent="0.2">
      <c r="C6" s="8">
        <v>77</v>
      </c>
      <c r="D6" s="9">
        <f>$D$1*C6+$D$2</f>
        <v>296</v>
      </c>
    </row>
    <row r="7" spans="3:4" ht="14.25" x14ac:dyDescent="0.2">
      <c r="C7" s="8">
        <v>99</v>
      </c>
      <c r="D7" s="9">
        <f t="shared" ref="D7:D20" si="0">$D$1*C7+$D$2</f>
        <v>373</v>
      </c>
    </row>
    <row r="8" spans="3:4" ht="14.25" x14ac:dyDescent="0.2">
      <c r="C8" s="8">
        <v>1</v>
      </c>
      <c r="D8" s="9">
        <f t="shared" si="0"/>
        <v>30</v>
      </c>
    </row>
    <row r="9" spans="3:4" ht="14.25" x14ac:dyDescent="0.2">
      <c r="C9" s="8">
        <v>21</v>
      </c>
      <c r="D9" s="9">
        <f t="shared" si="0"/>
        <v>100</v>
      </c>
    </row>
    <row r="10" spans="3:4" ht="14.25" x14ac:dyDescent="0.2">
      <c r="C10" s="8">
        <v>91</v>
      </c>
      <c r="D10" s="9">
        <f t="shared" si="0"/>
        <v>345</v>
      </c>
    </row>
    <row r="11" spans="3:4" ht="14.25" x14ac:dyDescent="0.2">
      <c r="C11" s="8">
        <v>44</v>
      </c>
      <c r="D11" s="9">
        <f t="shared" si="0"/>
        <v>180.5</v>
      </c>
    </row>
    <row r="12" spans="3:4" ht="14.25" x14ac:dyDescent="0.2">
      <c r="C12" s="8">
        <v>62</v>
      </c>
      <c r="D12" s="9">
        <f t="shared" si="0"/>
        <v>243.5</v>
      </c>
    </row>
    <row r="13" spans="3:4" ht="14.25" x14ac:dyDescent="0.2">
      <c r="C13" s="8">
        <v>41</v>
      </c>
      <c r="D13" s="9">
        <f t="shared" si="0"/>
        <v>170</v>
      </c>
    </row>
    <row r="14" spans="3:4" ht="14.25" x14ac:dyDescent="0.2">
      <c r="C14" s="8">
        <v>48</v>
      </c>
      <c r="D14" s="9">
        <f t="shared" si="0"/>
        <v>194.5</v>
      </c>
    </row>
    <row r="15" spans="3:4" ht="14.25" x14ac:dyDescent="0.2">
      <c r="C15" s="8">
        <v>5</v>
      </c>
      <c r="D15" s="9">
        <f t="shared" si="0"/>
        <v>44</v>
      </c>
    </row>
    <row r="16" spans="3:4" ht="14.25" x14ac:dyDescent="0.2">
      <c r="C16" s="8">
        <v>62</v>
      </c>
      <c r="D16" s="9">
        <f t="shared" si="0"/>
        <v>243.5</v>
      </c>
    </row>
    <row r="17" spans="3:4" ht="14.25" x14ac:dyDescent="0.2">
      <c r="C17" s="8">
        <v>3</v>
      </c>
      <c r="D17" s="9">
        <f t="shared" si="0"/>
        <v>37</v>
      </c>
    </row>
    <row r="18" spans="3:4" ht="14.25" x14ac:dyDescent="0.2">
      <c r="C18" s="8">
        <v>66</v>
      </c>
      <c r="D18" s="9">
        <f t="shared" si="0"/>
        <v>257.5</v>
      </c>
    </row>
    <row r="19" spans="3:4" ht="14.25" x14ac:dyDescent="0.2">
      <c r="C19" s="8">
        <v>46</v>
      </c>
      <c r="D19" s="9">
        <f t="shared" si="0"/>
        <v>187.5</v>
      </c>
    </row>
    <row r="20" spans="3:4" ht="15" thickBot="1" x14ac:dyDescent="0.25">
      <c r="C20" s="10">
        <v>85</v>
      </c>
      <c r="D20" s="11">
        <f t="shared" si="0"/>
        <v>324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3"/>
  <sheetViews>
    <sheetView tabSelected="1" zoomScale="110" zoomScaleNormal="110" zoomScaleSheetLayoutView="100" workbookViewId="0">
      <selection activeCell="F1" sqref="F1"/>
    </sheetView>
  </sheetViews>
  <sheetFormatPr defaultRowHeight="12.75" x14ac:dyDescent="0.2"/>
  <cols>
    <col min="1" max="1" width="11" customWidth="1"/>
    <col min="2" max="2" width="13.5703125" bestFit="1" customWidth="1"/>
    <col min="5" max="5" width="16.85546875" bestFit="1" customWidth="1"/>
    <col min="6" max="6" width="18.28515625" bestFit="1" customWidth="1"/>
    <col min="7" max="7" width="14.7109375" bestFit="1" customWidth="1"/>
    <col min="8" max="8" width="15.140625" bestFit="1" customWidth="1"/>
    <col min="9" max="10" width="17" bestFit="1" customWidth="1"/>
  </cols>
  <sheetData>
    <row r="1" spans="1:10" ht="16.5" customHeight="1" thickBot="1" x14ac:dyDescent="0.25"/>
    <row r="2" spans="1:10" ht="13.5" thickBot="1" x14ac:dyDescent="0.25">
      <c r="H2" s="7" t="s">
        <v>8</v>
      </c>
      <c r="I2" s="6">
        <v>0.5</v>
      </c>
    </row>
    <row r="3" spans="1:10" ht="13.5" thickBot="1" x14ac:dyDescent="0.25"/>
    <row r="4" spans="1:10" ht="13.5" thickBot="1" x14ac:dyDescent="0.25">
      <c r="B4" s="30" t="s">
        <v>5</v>
      </c>
      <c r="C4" s="31"/>
      <c r="E4" s="5" t="s">
        <v>7</v>
      </c>
      <c r="F4" s="6">
        <v>1E-4</v>
      </c>
      <c r="H4" s="7" t="s">
        <v>21</v>
      </c>
      <c r="I4" s="25">
        <f>SQRT(SUM(F9:F23))</f>
        <v>236.82375534613681</v>
      </c>
    </row>
    <row r="5" spans="1:10" ht="13.5" thickBot="1" x14ac:dyDescent="0.25">
      <c r="B5" s="1" t="s">
        <v>14</v>
      </c>
      <c r="C5" s="2">
        <v>1</v>
      </c>
    </row>
    <row r="6" spans="1:10" ht="13.5" thickBot="1" x14ac:dyDescent="0.25">
      <c r="B6" s="3" t="s">
        <v>15</v>
      </c>
      <c r="C6" s="4">
        <v>1</v>
      </c>
      <c r="F6" s="32" t="s">
        <v>3</v>
      </c>
      <c r="G6" s="32" t="s">
        <v>2</v>
      </c>
      <c r="H6" s="32"/>
      <c r="I6" s="32" t="s">
        <v>6</v>
      </c>
      <c r="J6" s="32"/>
    </row>
    <row r="7" spans="1:10" ht="13.5" thickBot="1" x14ac:dyDescent="0.25">
      <c r="A7" s="7" t="s">
        <v>9</v>
      </c>
      <c r="B7" s="7" t="s">
        <v>10</v>
      </c>
      <c r="E7" s="7" t="s">
        <v>11</v>
      </c>
      <c r="F7" s="32"/>
      <c r="G7" s="32"/>
      <c r="H7" s="32"/>
      <c r="I7" s="32"/>
      <c r="J7" s="32"/>
    </row>
    <row r="8" spans="1:10" ht="15" thickBot="1" x14ac:dyDescent="0.25">
      <c r="A8" s="19" t="s">
        <v>0</v>
      </c>
      <c r="B8" s="20" t="s">
        <v>1</v>
      </c>
      <c r="C8" s="20" t="s">
        <v>14</v>
      </c>
      <c r="D8" s="20" t="s">
        <v>15</v>
      </c>
      <c r="E8" s="21" t="s">
        <v>16</v>
      </c>
      <c r="F8" s="22" t="s">
        <v>4</v>
      </c>
      <c r="G8" s="22" t="s">
        <v>17</v>
      </c>
      <c r="H8" s="22" t="s">
        <v>18</v>
      </c>
      <c r="I8" s="22" t="s">
        <v>19</v>
      </c>
      <c r="J8" s="22" t="s">
        <v>20</v>
      </c>
    </row>
    <row r="9" spans="1:10" x14ac:dyDescent="0.2">
      <c r="A9" s="14">
        <v>77</v>
      </c>
      <c r="B9" s="26">
        <v>296</v>
      </c>
      <c r="C9" s="12">
        <f>C5</f>
        <v>1</v>
      </c>
      <c r="D9" s="12">
        <f>C6</f>
        <v>1</v>
      </c>
      <c r="E9" s="27">
        <f>C9*A9+D9</f>
        <v>78</v>
      </c>
      <c r="F9" s="12">
        <f>(B9-E9)^2</f>
        <v>47524</v>
      </c>
      <c r="G9" s="12">
        <f>2*(E9-B9)*A9</f>
        <v>-33572</v>
      </c>
      <c r="H9" s="12">
        <f>2*(E9-B9)</f>
        <v>-436</v>
      </c>
      <c r="I9" s="12">
        <f>C9 - $F$4*G9</f>
        <v>4.3572000000000006</v>
      </c>
      <c r="J9" s="13">
        <f>D9 - $F$4*H9</f>
        <v>1.0436000000000001</v>
      </c>
    </row>
    <row r="10" spans="1:10" x14ac:dyDescent="0.2">
      <c r="A10" s="15">
        <v>99</v>
      </c>
      <c r="B10" s="28">
        <v>373</v>
      </c>
      <c r="C10" s="34">
        <f>I9</f>
        <v>4.3572000000000006</v>
      </c>
      <c r="D10" s="34">
        <f>J9</f>
        <v>1.0436000000000001</v>
      </c>
      <c r="E10" s="35">
        <f t="shared" ref="E10:E23" si="0">C10*A10+D10</f>
        <v>432.40640000000008</v>
      </c>
      <c r="F10" s="34">
        <f t="shared" ref="F10:F23" si="1">(B10-E10)^2</f>
        <v>3529.1203609600088</v>
      </c>
      <c r="G10" s="34">
        <f t="shared" ref="G10:G23" si="2">2*(E10-B10)*A10</f>
        <v>11762.467200000016</v>
      </c>
      <c r="H10" s="34">
        <f t="shared" ref="H10:H23" si="3">2*(E10-B10)</f>
        <v>118.81280000000015</v>
      </c>
      <c r="I10" s="34">
        <f t="shared" ref="I10:I23" si="4">C10 - $F$4*G10</f>
        <v>3.1809532799999989</v>
      </c>
      <c r="J10" s="36">
        <f t="shared" ref="J10:J23" si="5">D10 - $F$4*H10</f>
        <v>1.03171872</v>
      </c>
    </row>
    <row r="11" spans="1:10" x14ac:dyDescent="0.2">
      <c r="A11" s="15">
        <v>1</v>
      </c>
      <c r="B11" s="28">
        <v>30</v>
      </c>
      <c r="C11" s="34">
        <f t="shared" ref="C11:C23" si="6">I10</f>
        <v>3.1809532799999989</v>
      </c>
      <c r="D11" s="34">
        <f t="shared" ref="D11:D23" si="7">J10</f>
        <v>1.03171872</v>
      </c>
      <c r="E11" s="35">
        <f t="shared" si="0"/>
        <v>4.2126719999999986</v>
      </c>
      <c r="F11" s="34">
        <f t="shared" si="1"/>
        <v>664.98628537958416</v>
      </c>
      <c r="G11" s="34">
        <f t="shared" si="2"/>
        <v>-51.574656000000004</v>
      </c>
      <c r="H11" s="34">
        <f t="shared" si="3"/>
        <v>-51.574656000000004</v>
      </c>
      <c r="I11" s="34">
        <f t="shared" si="4"/>
        <v>3.1861107455999989</v>
      </c>
      <c r="J11" s="36">
        <f t="shared" si="5"/>
        <v>1.0368761855999999</v>
      </c>
    </row>
    <row r="12" spans="1:10" x14ac:dyDescent="0.2">
      <c r="A12" s="15">
        <v>21</v>
      </c>
      <c r="B12" s="28">
        <v>100</v>
      </c>
      <c r="C12" s="34">
        <f t="shared" si="6"/>
        <v>3.1861107455999989</v>
      </c>
      <c r="D12" s="34">
        <f t="shared" si="7"/>
        <v>1.0368761855999999</v>
      </c>
      <c r="E12" s="35">
        <f t="shared" si="0"/>
        <v>67.945201843199968</v>
      </c>
      <c r="F12" s="34">
        <f t="shared" si="1"/>
        <v>1027.5100848731909</v>
      </c>
      <c r="G12" s="34">
        <f t="shared" si="2"/>
        <v>-1346.3015225856013</v>
      </c>
      <c r="H12" s="34">
        <f t="shared" si="3"/>
        <v>-64.109596313600065</v>
      </c>
      <c r="I12" s="34">
        <f t="shared" si="4"/>
        <v>3.3207408978585589</v>
      </c>
      <c r="J12" s="36">
        <f t="shared" si="5"/>
        <v>1.0432871452313599</v>
      </c>
    </row>
    <row r="13" spans="1:10" x14ac:dyDescent="0.2">
      <c r="A13" s="15">
        <v>91</v>
      </c>
      <c r="B13" s="28">
        <v>345</v>
      </c>
      <c r="C13" s="34">
        <f t="shared" si="6"/>
        <v>3.3207408978585589</v>
      </c>
      <c r="D13" s="34">
        <f t="shared" si="7"/>
        <v>1.0432871452313599</v>
      </c>
      <c r="E13" s="35">
        <f t="shared" si="0"/>
        <v>303.23070885036026</v>
      </c>
      <c r="F13" s="34">
        <f t="shared" si="1"/>
        <v>1744.6736831433727</v>
      </c>
      <c r="G13" s="34">
        <f t="shared" si="2"/>
        <v>-7602.0109892344326</v>
      </c>
      <c r="H13" s="34">
        <f t="shared" si="3"/>
        <v>-83.538582299279483</v>
      </c>
      <c r="I13" s="34">
        <f t="shared" si="4"/>
        <v>4.080941996782002</v>
      </c>
      <c r="J13" s="36">
        <f t="shared" si="5"/>
        <v>1.0516410034612877</v>
      </c>
    </row>
    <row r="14" spans="1:10" x14ac:dyDescent="0.2">
      <c r="A14" s="15">
        <v>44</v>
      </c>
      <c r="B14" s="28">
        <v>180.5</v>
      </c>
      <c r="C14" s="34">
        <f t="shared" si="6"/>
        <v>4.080941996782002</v>
      </c>
      <c r="D14" s="34">
        <f t="shared" si="7"/>
        <v>1.0516410034612877</v>
      </c>
      <c r="E14" s="35">
        <f t="shared" si="0"/>
        <v>180.61308886186939</v>
      </c>
      <c r="F14" s="34">
        <f t="shared" si="1"/>
        <v>1.2789090678913052E-2</v>
      </c>
      <c r="G14" s="34">
        <f t="shared" si="2"/>
        <v>9.9518198445059625</v>
      </c>
      <c r="H14" s="34">
        <f t="shared" si="3"/>
        <v>0.22617772373877187</v>
      </c>
      <c r="I14" s="34">
        <f t="shared" si="4"/>
        <v>4.0799468147975517</v>
      </c>
      <c r="J14" s="36">
        <f t="shared" si="5"/>
        <v>1.0516183856889139</v>
      </c>
    </row>
    <row r="15" spans="1:10" x14ac:dyDescent="0.2">
      <c r="A15" s="15">
        <v>62</v>
      </c>
      <c r="B15" s="28">
        <v>243.5</v>
      </c>
      <c r="C15" s="34">
        <f t="shared" si="6"/>
        <v>4.0799468147975517</v>
      </c>
      <c r="D15" s="34">
        <f t="shared" si="7"/>
        <v>1.0516183856889139</v>
      </c>
      <c r="E15" s="35">
        <f t="shared" si="0"/>
        <v>254.00832090313713</v>
      </c>
      <c r="F15" s="34">
        <f t="shared" si="1"/>
        <v>110.4248082033088</v>
      </c>
      <c r="G15" s="34">
        <f t="shared" si="2"/>
        <v>1303.0317919890044</v>
      </c>
      <c r="H15" s="34">
        <f t="shared" si="3"/>
        <v>21.016641806274265</v>
      </c>
      <c r="I15" s="34">
        <f t="shared" si="4"/>
        <v>3.9496436355986511</v>
      </c>
      <c r="J15" s="36">
        <f t="shared" si="5"/>
        <v>1.0495167215082863</v>
      </c>
    </row>
    <row r="16" spans="1:10" x14ac:dyDescent="0.2">
      <c r="A16" s="15">
        <v>41</v>
      </c>
      <c r="B16" s="28">
        <v>170</v>
      </c>
      <c r="C16" s="34">
        <f t="shared" si="6"/>
        <v>3.9496436355986511</v>
      </c>
      <c r="D16" s="34">
        <f t="shared" si="7"/>
        <v>1.0495167215082863</v>
      </c>
      <c r="E16" s="35">
        <f t="shared" si="0"/>
        <v>162.98490578105299</v>
      </c>
      <c r="F16" s="34">
        <f t="shared" si="1"/>
        <v>49.211546900703802</v>
      </c>
      <c r="G16" s="34">
        <f t="shared" si="2"/>
        <v>-575.23772595365506</v>
      </c>
      <c r="H16" s="34">
        <f t="shared" si="3"/>
        <v>-14.030188437894026</v>
      </c>
      <c r="I16" s="34">
        <f t="shared" si="4"/>
        <v>4.0071674081940163</v>
      </c>
      <c r="J16" s="36">
        <f t="shared" si="5"/>
        <v>1.0509197403520758</v>
      </c>
    </row>
    <row r="17" spans="1:10" x14ac:dyDescent="0.2">
      <c r="A17" s="15">
        <v>48</v>
      </c>
      <c r="B17" s="28">
        <v>194.5</v>
      </c>
      <c r="C17" s="34">
        <f t="shared" si="6"/>
        <v>4.0071674081940163</v>
      </c>
      <c r="D17" s="34">
        <f t="shared" si="7"/>
        <v>1.0509197403520758</v>
      </c>
      <c r="E17" s="35">
        <f t="shared" si="0"/>
        <v>193.39495533366485</v>
      </c>
      <c r="F17" s="34">
        <f t="shared" si="1"/>
        <v>1.2211237145957554</v>
      </c>
      <c r="G17" s="34">
        <f t="shared" si="2"/>
        <v>-106.08428796817407</v>
      </c>
      <c r="H17" s="34">
        <f t="shared" si="3"/>
        <v>-2.2100893326702931</v>
      </c>
      <c r="I17" s="34">
        <f t="shared" si="4"/>
        <v>4.0177758369908334</v>
      </c>
      <c r="J17" s="36">
        <f t="shared" si="5"/>
        <v>1.0511407492853428</v>
      </c>
    </row>
    <row r="18" spans="1:10" x14ac:dyDescent="0.2">
      <c r="A18" s="15">
        <v>5</v>
      </c>
      <c r="B18" s="28">
        <v>44</v>
      </c>
      <c r="C18" s="34">
        <f t="shared" si="6"/>
        <v>4.0177758369908334</v>
      </c>
      <c r="D18" s="34">
        <f t="shared" si="7"/>
        <v>1.0511407492853428</v>
      </c>
      <c r="E18" s="35">
        <f t="shared" si="0"/>
        <v>21.140019934239508</v>
      </c>
      <c r="F18" s="34">
        <f t="shared" si="1"/>
        <v>522.57868860696703</v>
      </c>
      <c r="G18" s="34">
        <f t="shared" si="2"/>
        <v>-228.59980065760493</v>
      </c>
      <c r="H18" s="34">
        <f t="shared" si="3"/>
        <v>-45.719960131520985</v>
      </c>
      <c r="I18" s="34">
        <f t="shared" si="4"/>
        <v>4.0406358170565939</v>
      </c>
      <c r="J18" s="36">
        <f t="shared" si="5"/>
        <v>1.0557127452984949</v>
      </c>
    </row>
    <row r="19" spans="1:10" x14ac:dyDescent="0.2">
      <c r="A19" s="15">
        <v>62</v>
      </c>
      <c r="B19" s="28">
        <v>243.5</v>
      </c>
      <c r="C19" s="34">
        <f t="shared" si="6"/>
        <v>4.0406358170565939</v>
      </c>
      <c r="D19" s="34">
        <f t="shared" si="7"/>
        <v>1.0557127452984949</v>
      </c>
      <c r="E19" s="35">
        <f t="shared" si="0"/>
        <v>251.57513340280732</v>
      </c>
      <c r="F19" s="34">
        <f t="shared" si="1"/>
        <v>65.207779473134593</v>
      </c>
      <c r="G19" s="34">
        <f t="shared" si="2"/>
        <v>1001.3165419481082</v>
      </c>
      <c r="H19" s="34">
        <f t="shared" si="3"/>
        <v>16.150266805614649</v>
      </c>
      <c r="I19" s="34">
        <f t="shared" si="4"/>
        <v>3.940504162861783</v>
      </c>
      <c r="J19" s="36">
        <f t="shared" si="5"/>
        <v>1.0540977186179334</v>
      </c>
    </row>
    <row r="20" spans="1:10" x14ac:dyDescent="0.2">
      <c r="A20" s="15">
        <v>3</v>
      </c>
      <c r="B20" s="28">
        <v>37</v>
      </c>
      <c r="C20" s="34">
        <f t="shared" si="6"/>
        <v>3.940504162861783</v>
      </c>
      <c r="D20" s="34">
        <f t="shared" si="7"/>
        <v>1.0540977186179334</v>
      </c>
      <c r="E20" s="35">
        <f t="shared" si="0"/>
        <v>12.875610207203282</v>
      </c>
      <c r="F20" s="34">
        <f t="shared" si="1"/>
        <v>581.98618287479451</v>
      </c>
      <c r="G20" s="34">
        <f t="shared" si="2"/>
        <v>-144.74633875678032</v>
      </c>
      <c r="H20" s="34">
        <f t="shared" si="3"/>
        <v>-48.248779585593439</v>
      </c>
      <c r="I20" s="34">
        <f t="shared" si="4"/>
        <v>3.954978796737461</v>
      </c>
      <c r="J20" s="36">
        <f t="shared" si="5"/>
        <v>1.0589225965764928</v>
      </c>
    </row>
    <row r="21" spans="1:10" x14ac:dyDescent="0.2">
      <c r="A21" s="15">
        <v>66</v>
      </c>
      <c r="B21" s="28">
        <v>257.5</v>
      </c>
      <c r="C21" s="34">
        <f t="shared" si="6"/>
        <v>3.954978796737461</v>
      </c>
      <c r="D21" s="34">
        <f t="shared" si="7"/>
        <v>1.0589225965764928</v>
      </c>
      <c r="E21" s="35">
        <f t="shared" si="0"/>
        <v>262.08752318124891</v>
      </c>
      <c r="F21" s="34">
        <f t="shared" si="1"/>
        <v>21.045368938496136</v>
      </c>
      <c r="G21" s="34">
        <f t="shared" si="2"/>
        <v>605.55305992485637</v>
      </c>
      <c r="H21" s="34">
        <f t="shared" si="3"/>
        <v>9.1750463624978238</v>
      </c>
      <c r="I21" s="34">
        <f t="shared" si="4"/>
        <v>3.8944234907449755</v>
      </c>
      <c r="J21" s="36">
        <f t="shared" si="5"/>
        <v>1.0580050919402431</v>
      </c>
    </row>
    <row r="22" spans="1:10" x14ac:dyDescent="0.2">
      <c r="A22" s="15">
        <v>46</v>
      </c>
      <c r="B22" s="28">
        <v>187.5</v>
      </c>
      <c r="C22" s="34">
        <f t="shared" si="6"/>
        <v>3.8944234907449755</v>
      </c>
      <c r="D22" s="34">
        <f t="shared" si="7"/>
        <v>1.0580050919402431</v>
      </c>
      <c r="E22" s="35">
        <f t="shared" si="0"/>
        <v>180.20148566620909</v>
      </c>
      <c r="F22" s="34">
        <f t="shared" si="1"/>
        <v>53.268311480551297</v>
      </c>
      <c r="G22" s="34">
        <f t="shared" si="2"/>
        <v>-671.46331870876327</v>
      </c>
      <c r="H22" s="34">
        <f t="shared" si="3"/>
        <v>-14.59702866758181</v>
      </c>
      <c r="I22" s="34">
        <f t="shared" si="4"/>
        <v>3.9615698226158518</v>
      </c>
      <c r="J22" s="36">
        <f t="shared" si="5"/>
        <v>1.0594647948070013</v>
      </c>
    </row>
    <row r="23" spans="1:10" ht="13.5" thickBot="1" x14ac:dyDescent="0.25">
      <c r="A23" s="16">
        <v>85</v>
      </c>
      <c r="B23" s="29">
        <v>324</v>
      </c>
      <c r="C23" s="37">
        <f t="shared" si="6"/>
        <v>3.9615698226158518</v>
      </c>
      <c r="D23" s="37">
        <f t="shared" si="7"/>
        <v>1.0594647948070013</v>
      </c>
      <c r="E23" s="38">
        <f t="shared" si="0"/>
        <v>337.7928997171544</v>
      </c>
      <c r="F23" s="37">
        <f t="shared" si="1"/>
        <v>190.24408260747788</v>
      </c>
      <c r="G23" s="37">
        <f t="shared" si="2"/>
        <v>2344.7929519162476</v>
      </c>
      <c r="H23" s="37">
        <f t="shared" si="3"/>
        <v>27.585799434308797</v>
      </c>
      <c r="I23" s="37">
        <f t="shared" si="4"/>
        <v>3.727090527424227</v>
      </c>
      <c r="J23" s="39">
        <f t="shared" si="5"/>
        <v>1.0567062148635704</v>
      </c>
    </row>
  </sheetData>
  <mergeCells count="4">
    <mergeCell ref="B4:C4"/>
    <mergeCell ref="F6:F7"/>
    <mergeCell ref="G6:H7"/>
    <mergeCell ref="I6:J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optimize">
                <anchor moveWithCells="1" sizeWithCells="1">
                  <from>
                    <xdr:col>0</xdr:col>
                    <xdr:colOff>28575</xdr:colOff>
                    <xdr:row>1</xdr:row>
                    <xdr:rowOff>19050</xdr:rowOff>
                  </from>
                  <to>
                    <xdr:col>1</xdr:col>
                    <xdr:colOff>9525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reinitialize">
                <anchor moveWithCells="1" sizeWithCells="1"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17"/>
  <sheetViews>
    <sheetView zoomScaleNormal="100" workbookViewId="0">
      <selection activeCell="R23" sqref="R23"/>
    </sheetView>
  </sheetViews>
  <sheetFormatPr defaultRowHeight="12.75" x14ac:dyDescent="0.2"/>
  <cols>
    <col min="2" max="3" width="0" hidden="1" customWidth="1"/>
    <col min="4" max="4" width="17.140625" customWidth="1"/>
    <col min="5" max="5" width="14.42578125" customWidth="1"/>
  </cols>
  <sheetData>
    <row r="2" spans="2:5" x14ac:dyDescent="0.2">
      <c r="B2">
        <v>18</v>
      </c>
    </row>
    <row r="4" spans="2:5" x14ac:dyDescent="0.2">
      <c r="D4" s="33"/>
      <c r="E4" s="33"/>
    </row>
    <row r="5" spans="2:5" x14ac:dyDescent="0.2">
      <c r="D5" s="23" t="s">
        <v>13</v>
      </c>
      <c r="E5" s="23" t="s">
        <v>12</v>
      </c>
    </row>
    <row r="6" spans="2:5" x14ac:dyDescent="0.2">
      <c r="E6" s="24"/>
    </row>
    <row r="7" spans="2:5" x14ac:dyDescent="0.2">
      <c r="E7" s="24"/>
    </row>
    <row r="8" spans="2:5" x14ac:dyDescent="0.2">
      <c r="E8" s="24"/>
    </row>
    <row r="9" spans="2:5" x14ac:dyDescent="0.2">
      <c r="E9" s="24"/>
    </row>
    <row r="10" spans="2:5" x14ac:dyDescent="0.2">
      <c r="E10" s="24"/>
    </row>
    <row r="11" spans="2:5" x14ac:dyDescent="0.2">
      <c r="E11" s="24"/>
    </row>
    <row r="12" spans="2:5" x14ac:dyDescent="0.2">
      <c r="E12" s="24"/>
    </row>
    <row r="13" spans="2:5" x14ac:dyDescent="0.2">
      <c r="E13" s="24"/>
    </row>
    <row r="14" spans="2:5" x14ac:dyDescent="0.2">
      <c r="E14" s="24"/>
    </row>
    <row r="15" spans="2:5" x14ac:dyDescent="0.2">
      <c r="E15" s="24"/>
    </row>
    <row r="16" spans="2:5" x14ac:dyDescent="0.2">
      <c r="E16" s="24"/>
    </row>
    <row r="17" spans="5:5" x14ac:dyDescent="0.2">
      <c r="E17" s="24"/>
    </row>
  </sheetData>
  <mergeCells count="1">
    <mergeCell ref="D4:E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lr_sgd</vt:lpstr>
      <vt:lpstr>visualization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Natarajan, Ramesh</dc:creator>
  <cp:lastModifiedBy>Natarajan, Ramesh</cp:lastModifiedBy>
  <dcterms:created xsi:type="dcterms:W3CDTF">2018-07-03T16:55:08Z</dcterms:created>
  <dcterms:modified xsi:type="dcterms:W3CDTF">2018-07-09T17:01:57Z</dcterms:modified>
</cp:coreProperties>
</file>